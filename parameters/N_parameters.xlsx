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7"/>
  <sheetViews>
    <sheetView tabSelected="1" topLeftCell="A23" workbookViewId="0">
      <selection activeCell="I46" sqref="I46"/>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digestate_fraction_to_agriculture</t>
        </is>
      </c>
      <c r="B16" t="n">
        <v>0.85</v>
      </c>
      <c r="C16" t="inlineStr">
        <is>
          <t>–</t>
        </is>
      </c>
      <c r="D16" t="inlineStr">
        <is>
          <t>Fraction of digestate N applied to agricultural land</t>
        </is>
      </c>
      <c r="E16" t="inlineStr">
        <is>
          <t>Biogass Norge, assumption</t>
        </is>
      </c>
      <c r="F16" t="n">
        <v>0.8</v>
      </c>
      <c r="G16" t="n">
        <v>0.9</v>
      </c>
      <c r="H16" t="inlineStr">
        <is>
          <t>abs</t>
        </is>
      </c>
      <c r="I16" t="inlineStr">
        <is>
          <t>assumption</t>
        </is>
      </c>
      <c r="J16" t="inlineStr">
        <is>
          <t>PERT</t>
        </is>
      </c>
    </row>
    <row r="17">
      <c r="A17" t="inlineStr">
        <is>
          <t>wood_density</t>
        </is>
      </c>
      <c r="B17" t="n">
        <v>0.45</v>
      </c>
      <c r="C17" t="inlineStr">
        <is>
          <t>t/m³</t>
        </is>
      </c>
      <c r="D17" t="inlineStr">
        <is>
          <t>Average wood density for industrial round wood</t>
        </is>
      </c>
      <c r="E17" t="inlineStr">
        <is>
          <t>forestry statistics</t>
        </is>
      </c>
      <c r="F17" t="n">
        <v>0.32</v>
      </c>
      <c r="G17" t="n">
        <v>0.48</v>
      </c>
      <c r="H17" t="inlineStr">
        <is>
          <t>abs</t>
        </is>
      </c>
      <c r="I17" t="inlineStr">
        <is>
          <t>Schappi 2025</t>
        </is>
      </c>
      <c r="J17" t="inlineStr">
        <is>
          <t>PERT</t>
        </is>
      </c>
    </row>
    <row r="18">
      <c r="A18" t="inlineStr">
        <is>
          <t>conifer_N_frac</t>
        </is>
      </c>
      <c r="B18" t="n">
        <v>0.0012</v>
      </c>
      <c r="C18" t="inlineStr">
        <is>
          <t>kg N/kg</t>
        </is>
      </c>
      <c r="D18" t="inlineStr">
        <is>
          <t>N content in conifer roundwood (stem only)</t>
        </is>
      </c>
      <c r="E18" t="inlineStr">
        <is>
          <t>Jutterström et al. 2020 (IVL C549)</t>
        </is>
      </c>
      <c r="F18" t="n">
        <v>0.0007</v>
      </c>
      <c r="G18" t="n">
        <v>0.0017</v>
      </c>
      <c r="H18" t="inlineStr">
        <is>
          <t>abs</t>
        </is>
      </c>
      <c r="I18" t="inlineStr">
        <is>
          <t>Schäppi 2025Ann Table 45, stems 1.2 ± 0.5 g/kg</t>
        </is>
      </c>
      <c r="J18" t="inlineStr">
        <is>
          <t>PERT</t>
        </is>
      </c>
    </row>
    <row r="19">
      <c r="A19" t="inlineStr">
        <is>
          <t>nonconifer_N_frac</t>
        </is>
      </c>
      <c r="B19" t="n">
        <v>0.0014</v>
      </c>
      <c r="C19" t="inlineStr">
        <is>
          <t>kg N/kg</t>
        </is>
      </c>
      <c r="D19" t="inlineStr">
        <is>
          <t>N content in non‑conifer (broadleaf) roundwood (stem only)</t>
        </is>
      </c>
      <c r="E19" t="inlineStr">
        <is>
          <t>Jutterström et al. 2020 (IVL C549)</t>
        </is>
      </c>
      <c r="F19" t="n">
        <v>0.0009</v>
      </c>
      <c r="G19" t="n">
        <v>0.0019</v>
      </c>
      <c r="H19" t="inlineStr">
        <is>
          <t>abs</t>
        </is>
      </c>
      <c r="I19" t="inlineStr">
        <is>
          <t>Schäppi 2025Ann Table 45, stems 1.4 ± 0.5 g/kg</t>
        </is>
      </c>
      <c r="J19" t="inlineStr">
        <is>
          <t>PERT</t>
        </is>
      </c>
    </row>
    <row r="20">
      <c r="A20" t="inlineStr">
        <is>
          <t>firewood_N_frac</t>
        </is>
      </c>
      <c r="B20" t="n">
        <v>0.004</v>
      </c>
      <c r="C20" t="inlineStr">
        <is>
          <t>kg N/kg</t>
        </is>
      </c>
      <c r="D20" t="inlineStr">
        <is>
          <t>N content in fuel wood</t>
        </is>
      </c>
      <c r="E20" t="inlineStr">
        <is>
          <t>Schäppi 2025Ann</t>
        </is>
      </c>
      <c r="F20" t="n">
        <v>0.0019</v>
      </c>
      <c r="G20" t="n">
        <v>0.0055</v>
      </c>
      <c r="H20" t="inlineStr">
        <is>
          <t>abs</t>
        </is>
      </c>
      <c r="I20" t="inlineStr">
        <is>
          <t>Schappi 2025</t>
        </is>
      </c>
      <c r="J20" t="inlineStr">
        <is>
          <t>PERT</t>
        </is>
      </c>
    </row>
    <row r="21">
      <c r="A21" t="inlineStr">
        <is>
          <t>firewood_NCV</t>
        </is>
      </c>
      <c r="B21" t="n">
        <v>15.6</v>
      </c>
      <c r="C21" t="inlineStr">
        <is>
          <t>TJ/kt</t>
        </is>
      </c>
      <c r="D21" t="inlineStr">
        <is>
          <t>Net calorific value of fuel wood</t>
        </is>
      </c>
      <c r="E21" t="inlineStr">
        <is>
          <t>IPCC 2006 GLs</t>
        </is>
      </c>
      <c r="F21" t="n">
        <v>12.3</v>
      </c>
      <c r="G21" t="n">
        <v>20.9</v>
      </c>
      <c r="H21" t="inlineStr">
        <is>
          <t>abs</t>
        </is>
      </c>
      <c r="I21" t="inlineStr">
        <is>
          <t>IPCC 2006</t>
        </is>
      </c>
      <c r="J21" t="inlineStr">
        <is>
          <t>PERT</t>
        </is>
      </c>
    </row>
    <row r="22">
      <c r="A22" t="inlineStr">
        <is>
          <t>surface_water_retention_fraction</t>
        </is>
      </c>
      <c r="B22" t="n">
        <v>0.07000000000000001</v>
      </c>
      <c r="C22" t="inlineStr">
        <is>
          <t>–</t>
        </is>
      </c>
      <c r="D22" t="inlineStr">
        <is>
          <t>Typical N retention fraction in surface waters (pre‑TEOTIL3)</t>
        </is>
      </c>
      <c r="E22" t="inlineStr">
        <is>
          <t>TEOTIL / NVE</t>
        </is>
      </c>
      <c r="F22" t="n">
        <v>0</v>
      </c>
      <c r="G22" t="n">
        <v>0.25</v>
      </c>
      <c r="H22" t="inlineStr">
        <is>
          <t>abs</t>
        </is>
      </c>
      <c r="I22" t="inlineStr">
        <is>
          <t>assumption</t>
        </is>
      </c>
      <c r="J22" t="inlineStr">
        <is>
          <t>PERT</t>
        </is>
      </c>
    </row>
    <row r="23">
      <c r="A23" t="inlineStr">
        <is>
          <t>surface_water_fraction_to_N2O</t>
        </is>
      </c>
      <c r="B23" t="n">
        <v>0.01</v>
      </c>
      <c r="C23" t="inlineStr">
        <is>
          <t>–</t>
        </is>
      </c>
      <c r="D23" t="inlineStr">
        <is>
          <t>Fraction of retained N emitted as N₂O in surface waters</t>
        </is>
      </c>
      <c r="E23" t="inlineStr">
        <is>
          <t>assumption</t>
        </is>
      </c>
      <c r="F23" t="n">
        <v>0.005</v>
      </c>
      <c r="G23" t="n">
        <v>0.2</v>
      </c>
      <c r="H23" t="inlineStr">
        <is>
          <t>abs</t>
        </is>
      </c>
      <c r="I23" t="inlineStr">
        <is>
          <t>Schappi 2025</t>
        </is>
      </c>
      <c r="J23" t="inlineStr">
        <is>
          <t>PERT</t>
        </is>
      </c>
    </row>
    <row r="24">
      <c r="A24" t="inlineStr">
        <is>
          <t>FO_leaching_bg_fraction</t>
        </is>
      </c>
      <c r="B24" t="n">
        <v>0.59</v>
      </c>
      <c r="C24" t="inlineStr">
        <is>
          <t>–</t>
        </is>
      </c>
      <c r="D24" t="inlineStr">
        <is>
          <t>Fraction of “background” leaching assigned to forest (FO)</t>
        </is>
      </c>
      <c r="E24" t="inlineStr">
        <is>
          <t>TEOTIL3</t>
        </is>
      </c>
      <c r="F24" t="n">
        <v>30</v>
      </c>
      <c r="G24" t="n">
        <v>30</v>
      </c>
      <c r="H24" t="inlineStr">
        <is>
          <t>perc</t>
        </is>
      </c>
      <c r="I24" t="inlineStr">
        <is>
          <t>Schappi 2025</t>
        </is>
      </c>
      <c r="J24" t="inlineStr">
        <is>
          <t>PERT</t>
        </is>
      </c>
    </row>
    <row r="25">
      <c r="A25" t="inlineStr">
        <is>
          <t>OL_leaching_bg_fraction</t>
        </is>
      </c>
      <c r="B25" t="n">
        <v>0.41</v>
      </c>
      <c r="C25" t="inlineStr">
        <is>
          <t>–</t>
        </is>
      </c>
      <c r="D25" t="inlineStr">
        <is>
          <t>Fraction of “background” leaching assigned to other land (OL)</t>
        </is>
      </c>
      <c r="E25" t="inlineStr">
        <is>
          <t>TEOTIL3</t>
        </is>
      </c>
      <c r="F25" t="n">
        <v>30</v>
      </c>
      <c r="G25" t="n">
        <v>30</v>
      </c>
      <c r="H25" t="inlineStr">
        <is>
          <t>perc</t>
        </is>
      </c>
      <c r="I25" t="inlineStr">
        <is>
          <t>Schappi 2025</t>
        </is>
      </c>
      <c r="J25" t="inlineStr">
        <is>
          <t>PERT</t>
        </is>
      </c>
    </row>
    <row r="26">
      <c r="A26" t="inlineStr">
        <is>
          <t>HS_urban_retention_fraction</t>
        </is>
      </c>
      <c r="B26" t="n">
        <v>0.05</v>
      </c>
      <c r="C26" t="inlineStr">
        <is>
          <t>–</t>
        </is>
      </c>
      <c r="D26" t="inlineStr">
        <is>
          <t>Retention fraction for N from urban runoff in TEOTIL</t>
        </is>
      </c>
      <c r="E26" t="inlineStr">
        <is>
          <t>TEOTIL3</t>
        </is>
      </c>
      <c r="F26" t="n">
        <v>0</v>
      </c>
      <c r="G26" t="n">
        <v>0.2</v>
      </c>
      <c r="H26" t="inlineStr">
        <is>
          <t>abs</t>
        </is>
      </c>
      <c r="I26" t="inlineStr">
        <is>
          <t>assumption</t>
        </is>
      </c>
      <c r="J26" t="inlineStr">
        <is>
          <t>PERT</t>
        </is>
      </c>
    </row>
    <row r="27">
      <c r="A27" t="inlineStr">
        <is>
          <t>live_animal_protein_frac</t>
        </is>
      </c>
      <c r="B27" t="n">
        <v>0.16</v>
      </c>
      <c r="C27" t="inlineStr">
        <is>
          <t>kg protein/kg</t>
        </is>
      </c>
      <c r="D27" t="inlineStr">
        <is>
          <t>Protein fraction in live animals (whole body)</t>
        </is>
      </c>
      <c r="E27" t="inlineStr">
        <is>
          <t>assumed based on typical values in Schäppi 2025Ann</t>
        </is>
      </c>
      <c r="F27" t="n">
        <v>0.14</v>
      </c>
      <c r="G27" t="n">
        <v>0.22</v>
      </c>
      <c r="H27" t="inlineStr">
        <is>
          <t>abs</t>
        </is>
      </c>
      <c r="I27" t="inlineStr">
        <is>
          <t>assumption</t>
        </is>
      </c>
      <c r="J27" t="inlineStr">
        <is>
          <t>PERT</t>
        </is>
      </c>
    </row>
    <row r="28">
      <c r="A28" t="inlineStr">
        <is>
          <t>Jones_factor</t>
        </is>
      </c>
      <c r="B28" t="n">
        <v>6.25</v>
      </c>
      <c r="C28" t="inlineStr">
        <is>
          <t>–</t>
        </is>
      </c>
      <c r="D28" t="inlineStr">
        <is>
          <t>Jones factor for N from protein (N = prot/6,25)</t>
        </is>
      </c>
      <c r="E28" t="inlineStr">
        <is>
          <t>standard default</t>
        </is>
      </c>
      <c r="F28" t="n">
        <v>10</v>
      </c>
      <c r="G28" t="n">
        <v>10</v>
      </c>
      <c r="H28" t="inlineStr">
        <is>
          <t>perc</t>
        </is>
      </c>
      <c r="I28" t="inlineStr">
        <is>
          <t>Schappi 2025</t>
        </is>
      </c>
      <c r="J28" t="inlineStr">
        <is>
          <t>norm</t>
        </is>
      </c>
    </row>
    <row r="29">
      <c r="A29" t="inlineStr">
        <is>
          <t>NH3_emission_factor_total_pop</t>
        </is>
      </c>
      <c r="B29" t="n">
        <v>1.7e-05</v>
      </c>
      <c r="C29" t="inlineStr">
        <is>
          <t>t N/person</t>
        </is>
      </c>
      <c r="D29" t="inlineStr">
        <is>
          <t>NH₃‑N emission factor for total human population</t>
        </is>
      </c>
      <c r="E29" t="inlineStr">
        <is>
          <t>Schäppi 2025Ann, Eq. 46</t>
        </is>
      </c>
      <c r="F29" t="n">
        <v>20</v>
      </c>
      <c r="G29" t="n">
        <v>20</v>
      </c>
      <c r="H29" t="inlineStr">
        <is>
          <t>perc</t>
        </is>
      </c>
      <c r="I29" t="inlineStr">
        <is>
          <t>assumption</t>
        </is>
      </c>
      <c r="J29" t="inlineStr">
        <is>
          <t>PERT</t>
        </is>
      </c>
    </row>
    <row r="30">
      <c r="A30" t="inlineStr">
        <is>
          <t>NH3_emission_factor_age0</t>
        </is>
      </c>
      <c r="B30" t="n">
        <v>1.17e-05</v>
      </c>
      <c r="C30" t="inlineStr">
        <is>
          <t>t N/person</t>
        </is>
      </c>
      <c r="D30" t="inlineStr">
        <is>
          <t>NH₃‑N emission factor for infants (&lt;1 year)</t>
        </is>
      </c>
      <c r="E30" t="inlineStr">
        <is>
          <t>Schäppi 2025Ann</t>
        </is>
      </c>
      <c r="F30" t="n">
        <v>20</v>
      </c>
      <c r="G30" t="n">
        <v>20</v>
      </c>
      <c r="H30" t="inlineStr">
        <is>
          <t>perc</t>
        </is>
      </c>
      <c r="I30" t="inlineStr">
        <is>
          <t>assumption</t>
        </is>
      </c>
      <c r="J30" t="inlineStr">
        <is>
          <t>PERT</t>
        </is>
      </c>
    </row>
    <row r="31">
      <c r="A31" t="inlineStr">
        <is>
          <t>NH3_emission_factor_age1_3</t>
        </is>
      </c>
      <c r="B31" t="n">
        <v>1.46e-05</v>
      </c>
      <c r="C31" t="inlineStr">
        <is>
          <t>t N/person</t>
        </is>
      </c>
      <c r="D31" t="inlineStr">
        <is>
          <t>NH₃‑N emission factor for children 1–3 years</t>
        </is>
      </c>
      <c r="E31" t="inlineStr">
        <is>
          <t>Schäppi 2025Ann</t>
        </is>
      </c>
      <c r="F31" t="n">
        <v>20</v>
      </c>
      <c r="G31" t="n">
        <v>20</v>
      </c>
      <c r="H31" t="inlineStr">
        <is>
          <t>perc</t>
        </is>
      </c>
      <c r="I31" t="inlineStr">
        <is>
          <t>assumption</t>
        </is>
      </c>
      <c r="J31" t="inlineStr">
        <is>
          <t>PERT</t>
        </is>
      </c>
    </row>
    <row r="32">
      <c r="A32" t="inlineStr">
        <is>
          <t>NH3_emission_factor_cigarettes</t>
        </is>
      </c>
      <c r="B32" t="n">
        <v>3.4e-09</v>
      </c>
      <c r="C32" t="inlineStr">
        <is>
          <t>t N/cigarette</t>
        </is>
      </c>
      <c r="D32" t="inlineStr">
        <is>
          <t>NH₃‑N emission factor per cigarette smoked</t>
        </is>
      </c>
      <c r="E32" t="inlineStr">
        <is>
          <t>Schäppi 2025Ann, Sutton 2000</t>
        </is>
      </c>
      <c r="F32" t="n">
        <v>20</v>
      </c>
      <c r="G32" t="n">
        <v>20</v>
      </c>
      <c r="H32" t="inlineStr">
        <is>
          <t>perc</t>
        </is>
      </c>
      <c r="I32" t="inlineStr">
        <is>
          <t>assumption</t>
        </is>
      </c>
      <c r="J32" t="inlineStr">
        <is>
          <t>PERT</t>
        </is>
      </c>
    </row>
    <row r="33">
      <c r="A33" t="inlineStr">
        <is>
          <t>daily_smoker_cigs_per_year</t>
        </is>
      </c>
      <c r="B33" t="n">
        <v>750</v>
      </c>
      <c r="C33" t="inlineStr">
        <is>
          <t>cig/year</t>
        </is>
      </c>
      <c r="D33" t="inlineStr">
        <is>
          <t>Assumed cigarettes per year for daily smokers</t>
        </is>
      </c>
      <c r="E33" t="inlineStr">
        <is>
          <t>assumption</t>
        </is>
      </c>
      <c r="F33" t="n">
        <v>50</v>
      </c>
      <c r="G33" t="n">
        <v>50</v>
      </c>
      <c r="H33" t="inlineStr">
        <is>
          <t>perc</t>
        </is>
      </c>
      <c r="I33" t="inlineStr">
        <is>
          <t>assumption</t>
        </is>
      </c>
      <c r="J33" t="inlineStr">
        <is>
          <t>PERT</t>
        </is>
      </c>
    </row>
    <row r="34">
      <c r="A34" t="inlineStr">
        <is>
          <t>occasional_smoker_cigs_per_year</t>
        </is>
      </c>
      <c r="B34" t="n">
        <v>100</v>
      </c>
      <c r="C34" t="inlineStr">
        <is>
          <t>cig/year</t>
        </is>
      </c>
      <c r="D34" t="inlineStr">
        <is>
          <t>Assumed cigarettes per year for occasional smokers</t>
        </is>
      </c>
      <c r="E34" t="inlineStr">
        <is>
          <t>assumption</t>
        </is>
      </c>
      <c r="F34" t="n">
        <v>50</v>
      </c>
      <c r="G34" t="n">
        <v>50</v>
      </c>
      <c r="H34" t="inlineStr">
        <is>
          <t>perc</t>
        </is>
      </c>
      <c r="I34" t="inlineStr">
        <is>
          <t>assumption</t>
        </is>
      </c>
      <c r="J34" t="inlineStr">
        <is>
          <t>PERT</t>
        </is>
      </c>
    </row>
    <row r="35">
      <c r="A35" t="inlineStr">
        <is>
          <t>coal_feedstock_NCV</t>
        </is>
      </c>
      <c r="B35" t="n">
        <v>20</v>
      </c>
      <c r="C35" t="inlineStr">
        <is>
          <t>TJ/kt</t>
        </is>
      </c>
      <c r="D35" t="inlineStr">
        <is>
          <t>NCV of coal used as feedstock</t>
        </is>
      </c>
      <c r="E35" t="inlineStr">
        <is>
          <t>IPCC 2006, typical</t>
        </is>
      </c>
      <c r="F35" t="n">
        <v>20</v>
      </c>
      <c r="G35" t="n">
        <v>20</v>
      </c>
      <c r="H35" t="inlineStr">
        <is>
          <t>perc</t>
        </is>
      </c>
      <c r="I35" t="inlineStr">
        <is>
          <t>IPCC 2006</t>
        </is>
      </c>
      <c r="J35" t="inlineStr">
        <is>
          <t>PERT</t>
        </is>
      </c>
    </row>
    <row r="36">
      <c r="A36" t="inlineStr">
        <is>
          <t>oil_feedstock_NCV</t>
        </is>
      </c>
      <c r="B36" t="n">
        <v>44</v>
      </c>
      <c r="C36" t="inlineStr">
        <is>
          <t>TJ/kt</t>
        </is>
      </c>
      <c r="D36" t="inlineStr">
        <is>
          <t>NCV of oil products used as feedstock</t>
        </is>
      </c>
      <c r="E36" t="inlineStr">
        <is>
          <t>IPCC 2006, typical</t>
        </is>
      </c>
      <c r="F36" t="n">
        <v>5</v>
      </c>
      <c r="G36" t="n">
        <v>5</v>
      </c>
      <c r="H36" t="inlineStr">
        <is>
          <t>perc</t>
        </is>
      </c>
      <c r="I36" t="inlineStr">
        <is>
          <t>IPCC 2006</t>
        </is>
      </c>
      <c r="J36" t="inlineStr">
        <is>
          <t>PERT</t>
        </is>
      </c>
    </row>
    <row r="37">
      <c r="A37" t="inlineStr">
        <is>
          <t>coal_feedstock_N_frac</t>
        </is>
      </c>
      <c r="B37" t="n">
        <v>0.01</v>
      </c>
      <c r="C37" t="inlineStr">
        <is>
          <t>kg N/kg</t>
        </is>
      </c>
      <c r="D37" t="inlineStr">
        <is>
          <t>N content of coal used as chemical feedstock</t>
        </is>
      </c>
      <c r="E37" t="inlineStr">
        <is>
          <t>Schäppi 2025Ann</t>
        </is>
      </c>
      <c r="F37" t="n">
        <v>0.005</v>
      </c>
      <c r="G37" t="n">
        <v>0.025</v>
      </c>
      <c r="H37" t="inlineStr">
        <is>
          <t>abs</t>
        </is>
      </c>
      <c r="I37" t="inlineStr">
        <is>
          <t>Schappi 2025</t>
        </is>
      </c>
      <c r="J37" t="inlineStr">
        <is>
          <t>PERT</t>
        </is>
      </c>
    </row>
    <row r="38">
      <c r="A38" t="inlineStr">
        <is>
          <t>oil_feedstock_N_frac</t>
        </is>
      </c>
      <c r="B38" t="n">
        <v>0.000375</v>
      </c>
      <c r="C38" t="inlineStr">
        <is>
          <t>kg N/kg</t>
        </is>
      </c>
      <c r="D38" t="inlineStr">
        <is>
          <t>N content of oil products used as chemical feedstock, excluding LPG and ethane (which are given 0 N via the LPG/ethane share in SSB 11561)</t>
        </is>
      </c>
      <c r="E38" t="inlineStr">
        <is>
          <t>Schäppi 2025Ann, Table 15 (other oil)</t>
        </is>
      </c>
      <c r="F38" t="n">
        <v>0</v>
      </c>
      <c r="G38" t="n">
        <v>0.0025</v>
      </c>
      <c r="H38" t="inlineStr">
        <is>
          <t>abs</t>
        </is>
      </c>
      <c r="I38" t="inlineStr">
        <is>
          <t>Schappi 2025</t>
        </is>
      </c>
      <c r="J38" t="inlineStr">
        <is>
          <t>PERT</t>
        </is>
      </c>
    </row>
    <row r="39">
      <c r="A39" t="inlineStr">
        <is>
          <t>dog_feed_N_per_year</t>
        </is>
      </c>
      <c r="B39" t="n">
        <v>4.73</v>
      </c>
      <c r="C39" t="inlineStr">
        <is>
          <t>kg N/animal/yr</t>
        </is>
      </c>
      <c r="D39" t="inlineStr">
        <is>
          <t>Annual N intake per dog from pet food</t>
        </is>
      </c>
      <c r="E39" t="inlineStr">
        <is>
          <t>Schäppi 2025Ann, Table 19</t>
        </is>
      </c>
      <c r="F39" t="n">
        <v>30</v>
      </c>
      <c r="G39" t="n">
        <v>30</v>
      </c>
      <c r="H39" t="inlineStr">
        <is>
          <t>perc</t>
        </is>
      </c>
      <c r="I39" t="inlineStr">
        <is>
          <t>Schappi 2025</t>
        </is>
      </c>
      <c r="J39" t="inlineStr">
        <is>
          <t>PERT</t>
        </is>
      </c>
    </row>
    <row r="40">
      <c r="A40" t="inlineStr">
        <is>
          <t>cat_feed_N_per_year</t>
        </is>
      </c>
      <c r="B40" t="n">
        <v>3.04</v>
      </c>
      <c r="C40" t="inlineStr">
        <is>
          <t>kg N/animal/yr</t>
        </is>
      </c>
      <c r="D40" t="inlineStr">
        <is>
          <t>Annual N intake per cat from pet food</t>
        </is>
      </c>
      <c r="E40" t="inlineStr">
        <is>
          <t>Schäppi 2025Ann, Table 19</t>
        </is>
      </c>
      <c r="F40" t="n">
        <v>30</v>
      </c>
      <c r="G40" t="n">
        <v>30</v>
      </c>
      <c r="H40" t="inlineStr">
        <is>
          <t>perc</t>
        </is>
      </c>
      <c r="I40" t="inlineStr">
        <is>
          <t>Schappi 2026</t>
        </is>
      </c>
      <c r="J40" t="inlineStr">
        <is>
          <t>PERT</t>
        </is>
      </c>
    </row>
    <row r="41">
      <c r="A41" t="inlineStr">
        <is>
          <t>dog_number_trend_slope</t>
        </is>
      </c>
      <c r="B41" t="n">
        <v>7123.8</v>
      </c>
      <c r="C41" t="inlineStr">
        <is>
          <t>animals/year²</t>
        </is>
      </c>
      <c r="D41" t="inlineStr">
        <is>
          <t>Slope for linear trend in dog numbers: slope * year + intercept</t>
        </is>
      </c>
      <c r="E41" t="inlineStr">
        <is>
          <t>own derivation (hunder_katter…)</t>
        </is>
      </c>
    </row>
    <row r="42">
      <c r="A42" t="inlineStr">
        <is>
          <t>dog_number_trend_intercept</t>
        </is>
      </c>
      <c r="B42" t="n">
        <v>-13837700</v>
      </c>
      <c r="C42" t="inlineStr">
        <is>
          <t>animals</t>
        </is>
      </c>
      <c r="D42" t="inlineStr">
        <is>
          <t>Intercept for linear trend in dog numbers</t>
        </is>
      </c>
      <c r="E42" t="inlineStr">
        <is>
          <t>own derivation</t>
        </is>
      </c>
    </row>
    <row r="43">
      <c r="A43" t="inlineStr">
        <is>
          <t>cat_number_trend_slope</t>
        </is>
      </c>
      <c r="B43" t="n">
        <v>6650</v>
      </c>
      <c r="C43" t="inlineStr">
        <is>
          <t>animals/year²</t>
        </is>
      </c>
      <c r="D43" t="inlineStr">
        <is>
          <t>Slope for linear trend in cat numbers</t>
        </is>
      </c>
      <c r="E43" t="inlineStr">
        <is>
          <t>own derivation</t>
        </is>
      </c>
    </row>
    <row r="44">
      <c r="A44" t="inlineStr">
        <is>
          <t>cat_number_trend_intercept</t>
        </is>
      </c>
      <c r="B44" t="n">
        <v>-12697800</v>
      </c>
      <c r="C44" t="inlineStr">
        <is>
          <t>animals</t>
        </is>
      </c>
      <c r="D44" t="inlineStr">
        <is>
          <t>Intercept for linear trend in cat numbers</t>
        </is>
      </c>
      <c r="E44" t="inlineStr">
        <is>
          <t>own derivation</t>
        </is>
      </c>
    </row>
    <row r="45">
      <c r="A45" t="inlineStr">
        <is>
          <t>forest_fert_N_per_da</t>
        </is>
      </c>
      <c r="B45" t="n">
        <v>15</v>
      </c>
      <c r="C45" t="inlineStr">
        <is>
          <t>kg N/da/yr</t>
        </is>
      </c>
      <c r="D45" t="inlineStr">
        <is>
          <t>Nitrogen applied per dekar when forest is fertilised</t>
        </is>
      </c>
      <c r="E45" t="inlineStr">
        <is>
          <t>Landbruksdirektoratet 2021; Dalen 2017</t>
        </is>
      </c>
      <c r="F45" t="n">
        <v>12</v>
      </c>
      <c r="G45" t="n">
        <v>18</v>
      </c>
      <c r="H45" t="inlineStr">
        <is>
          <t>abs</t>
        </is>
      </c>
      <c r="I45" t="inlineStr">
        <is>
          <t>Landbruksdirektoratet 2021, Dalen 2017</t>
        </is>
      </c>
      <c r="J45" t="inlineStr">
        <is>
          <t>PERT</t>
        </is>
      </c>
    </row>
    <row r="46">
      <c r="A46" t="inlineStr">
        <is>
          <t>fert_nonag_share_of_total_use</t>
        </is>
      </c>
      <c r="B46" t="n">
        <v>0.02</v>
      </c>
      <c r="C46" t="inlineStr">
        <is>
          <t>–</t>
        </is>
      </c>
      <c r="D46" t="inlineStr">
        <is>
          <t>Default share of total mineral fertiliser use applied outside agriculture</t>
        </is>
      </c>
      <c r="E46" t="inlineStr">
        <is>
          <t>Schäppi 2025Ann (2 %)</t>
        </is>
      </c>
      <c r="F46" t="n">
        <v>0.01</v>
      </c>
      <c r="G46" t="n">
        <v>0.03</v>
      </c>
      <c r="H46" t="inlineStr">
        <is>
          <t>abs</t>
        </is>
      </c>
      <c r="I46" t="inlineStr">
        <is>
          <t>Schappi 2025</t>
        </is>
      </c>
      <c r="J46" t="inlineStr">
        <is>
          <t>PERT</t>
        </is>
      </c>
    </row>
    <row r="47">
      <c r="A47" t="inlineStr">
        <is>
          <t>seed_cereal_protein_frac</t>
        </is>
      </c>
      <c r="B47" t="n">
        <v>0.12</v>
      </c>
      <c r="C47" t="inlineStr">
        <is>
          <t>kg/kg</t>
        </is>
      </c>
      <c r="D47" t="inlineStr">
        <is>
          <t>Protein mass fraction in cereal seed</t>
        </is>
      </c>
      <c r="E47" t="inlineStr">
        <is>
          <t>assumption</t>
        </is>
      </c>
      <c r="F47" t="n">
        <v>10</v>
      </c>
      <c r="G47" t="n">
        <v>10</v>
      </c>
      <c r="H47" t="inlineStr">
        <is>
          <t>perc</t>
        </is>
      </c>
      <c r="I47" t="inlineStr">
        <is>
          <t>assumption</t>
        </is>
      </c>
      <c r="J47" t="inlineStr">
        <is>
          <t>PERT</t>
        </is>
      </c>
    </row>
    <row r="48">
      <c r="A48" t="inlineStr">
        <is>
          <t>seed_cereal_protein_to_N</t>
        </is>
      </c>
      <c r="B48" t="n">
        <v>5.83</v>
      </c>
      <c r="C48" t="inlineStr">
        <is>
          <t>–</t>
        </is>
      </c>
      <c r="D48" t="inlineStr">
        <is>
          <t>Protein→N factor for cereal (wheat) protein</t>
        </is>
      </c>
      <c r="E48" t="inlineStr">
        <is>
          <t>Schäppi 2025Ann</t>
        </is>
      </c>
      <c r="F48" t="n">
        <v>10</v>
      </c>
      <c r="G48" t="n">
        <v>10</v>
      </c>
      <c r="H48" t="inlineStr">
        <is>
          <t>perc</t>
        </is>
      </c>
      <c r="I48" t="inlineStr">
        <is>
          <t>assumption</t>
        </is>
      </c>
      <c r="J48" t="inlineStr">
        <is>
          <t>PERT</t>
        </is>
      </c>
    </row>
    <row r="49">
      <c r="A49" t="inlineStr">
        <is>
          <t>seed_oilseed_protein_frac</t>
        </is>
      </c>
      <c r="B49" t="n">
        <v>0.196</v>
      </c>
      <c r="C49" t="inlineStr">
        <is>
          <t>kg/kg</t>
        </is>
      </c>
      <c r="D49" t="inlineStr">
        <is>
          <t>Protein mass fraction in oilseed</t>
        </is>
      </c>
      <c r="E49" t="inlineStr">
        <is>
          <t>Schäppi 2025Ann</t>
        </is>
      </c>
      <c r="F49" t="n">
        <v>30</v>
      </c>
      <c r="G49" t="n">
        <v>30</v>
      </c>
      <c r="H49" t="inlineStr">
        <is>
          <t>perc</t>
        </is>
      </c>
      <c r="I49" t="inlineStr">
        <is>
          <t>assumption</t>
        </is>
      </c>
      <c r="J49" t="inlineStr">
        <is>
          <t>PERT</t>
        </is>
      </c>
    </row>
    <row r="50">
      <c r="A50" t="inlineStr">
        <is>
          <t>seed_pea_protein_frac</t>
        </is>
      </c>
      <c r="B50" t="n">
        <v>0.225</v>
      </c>
      <c r="C50" t="inlineStr">
        <is>
          <t>kg/kg</t>
        </is>
      </c>
      <c r="D50" t="inlineStr">
        <is>
          <t>Protein mass fraction in peas</t>
        </is>
      </c>
      <c r="E50" t="inlineStr">
        <is>
          <t>Schäppi 2025Ann, table 21</t>
        </is>
      </c>
      <c r="F50" t="n">
        <v>10</v>
      </c>
      <c r="G50" t="n">
        <v>10</v>
      </c>
      <c r="H50" t="inlineStr">
        <is>
          <t>perc</t>
        </is>
      </c>
      <c r="I50" t="inlineStr">
        <is>
          <t>assumption</t>
        </is>
      </c>
      <c r="J50" t="inlineStr">
        <is>
          <t>PERT</t>
        </is>
      </c>
    </row>
    <row r="51">
      <c r="A51" t="inlineStr">
        <is>
          <t>seed_grass_protein_frac</t>
        </is>
      </c>
      <c r="B51" t="n">
        <v>0.12</v>
      </c>
      <c r="C51" t="inlineStr">
        <is>
          <t>kg/kg</t>
        </is>
      </c>
      <c r="D51" t="inlineStr">
        <is>
          <t>Protein fraction in grass seed (assumed wheat)</t>
        </is>
      </c>
      <c r="E51" t="inlineStr">
        <is>
          <t>assumption</t>
        </is>
      </c>
      <c r="F51" t="n">
        <v>30</v>
      </c>
      <c r="G51" t="n">
        <v>30</v>
      </c>
      <c r="H51" t="inlineStr">
        <is>
          <t>perc</t>
        </is>
      </c>
      <c r="I51" t="inlineStr">
        <is>
          <t>assumption</t>
        </is>
      </c>
      <c r="J51" t="inlineStr">
        <is>
          <t>PERT</t>
        </is>
      </c>
    </row>
    <row r="52">
      <c r="A52" t="inlineStr">
        <is>
          <t>seed_rootveg_protein_frac</t>
        </is>
      </c>
      <c r="B52" t="n">
        <v>0.12</v>
      </c>
      <c r="C52" t="inlineStr">
        <is>
          <t>kg/kg</t>
        </is>
      </c>
      <c r="D52" t="inlineStr">
        <is>
          <t>Protein fraction in root/veg seed (assumed)</t>
        </is>
      </c>
      <c r="E52" t="inlineStr">
        <is>
          <t>assumption</t>
        </is>
      </c>
      <c r="F52" t="n">
        <v>30</v>
      </c>
      <c r="G52" t="n">
        <v>30</v>
      </c>
      <c r="H52" t="inlineStr">
        <is>
          <t>perc</t>
        </is>
      </c>
      <c r="I52" t="inlineStr">
        <is>
          <t>assumption</t>
        </is>
      </c>
      <c r="J52" t="inlineStr">
        <is>
          <t>PERT</t>
        </is>
      </c>
    </row>
    <row r="53">
      <c r="A53" t="inlineStr">
        <is>
          <t>fodder_protein_frac</t>
        </is>
      </c>
      <c r="B53" t="n">
        <v>0.151</v>
      </c>
      <c r="C53" t="inlineStr">
        <is>
          <t>kg/kg</t>
        </is>
      </c>
      <c r="D53" t="inlineStr">
        <is>
          <t>Protein content in fodder</t>
        </is>
      </c>
      <c r="E53" t="inlineStr">
        <is>
          <t>TINE FAS-statistikk, given on p. 62 in Bakken et al (2026) Nitrogen i norsk jordbruk</t>
        </is>
      </c>
      <c r="F53" t="n">
        <v>0.13</v>
      </c>
      <c r="G53" t="n">
        <v>0.2</v>
      </c>
      <c r="H53" t="inlineStr">
        <is>
          <t>abs</t>
        </is>
      </c>
      <c r="I53" t="inlineStr">
        <is>
          <t>read from figure on p. 64</t>
        </is>
      </c>
      <c r="J53" t="inlineStr">
        <is>
          <t>PERT</t>
        </is>
      </c>
    </row>
    <row r="54">
      <c r="A54" t="inlineStr">
        <is>
          <t>manure_N_frac</t>
        </is>
      </c>
      <c r="B54" t="n">
        <v>0.003</v>
      </c>
      <c r="C54" t="inlineStr">
        <is>
          <t>kt N/kt</t>
        </is>
      </c>
      <c r="D54" t="inlineStr">
        <is>
          <t>N fraction in manure for biogas/compost (≈3 kg N/t)</t>
        </is>
      </c>
      <c r="E54" t="inlineStr">
        <is>
          <t>NIBIO tables for manure N content (Gjødslingshåndbok; typical 3 kg N per tonne husdyrgjødsel)</t>
        </is>
      </c>
      <c r="F54" t="n">
        <v>30</v>
      </c>
      <c r="G54" t="n">
        <v>30</v>
      </c>
      <c r="H54" t="inlineStr">
        <is>
          <t>perc</t>
        </is>
      </c>
      <c r="I54" t="inlineStr">
        <is>
          <t>assumption</t>
        </is>
      </c>
      <c r="J54" t="inlineStr">
        <is>
          <t>PERT</t>
        </is>
      </c>
    </row>
    <row r="55">
      <c r="A55" t="inlineStr">
        <is>
          <t>wool_per_sheep</t>
        </is>
      </c>
      <c r="B55" t="n">
        <v>3.8235</v>
      </c>
      <c r="C55" t="inlineStr">
        <is>
          <t>kg/sheep/yr</t>
        </is>
      </c>
      <c r="D55" t="inlineStr">
        <is>
          <t>Average wool production per sheep per year</t>
        </is>
      </c>
      <c r="E55" t="inlineStr">
        <is>
          <t>Landbruksdirektoratet wool statistics 2005–2004, linear trend fitted (see ull.xlsx)</t>
        </is>
      </c>
      <c r="F55" t="n">
        <v>30</v>
      </c>
      <c r="G55" t="n">
        <v>30</v>
      </c>
      <c r="H55" t="inlineStr">
        <is>
          <t>perc</t>
        </is>
      </c>
      <c r="I55" t="inlineStr">
        <is>
          <t>assumption</t>
        </is>
      </c>
      <c r="J55" t="inlineStr">
        <is>
          <t>PERT</t>
        </is>
      </c>
    </row>
    <row r="56">
      <c r="A56" t="inlineStr">
        <is>
          <t>wool_N_frac</t>
        </is>
      </c>
      <c r="B56" t="n">
        <v>0.15</v>
      </c>
      <c r="C56" t="inlineStr">
        <is>
          <t>kg N/kg</t>
        </is>
      </c>
      <c r="D56" t="inlineStr">
        <is>
          <t>N fraction in wool</t>
        </is>
      </c>
      <c r="E56" t="inlineStr">
        <is>
          <t>Schäppi2025Ann Table 24 (15 % N in wool)</t>
        </is>
      </c>
      <c r="F56" t="n">
        <v>10</v>
      </c>
      <c r="G56" t="n">
        <v>10</v>
      </c>
      <c r="H56" t="inlineStr">
        <is>
          <t>perc</t>
        </is>
      </c>
      <c r="I56" t="inlineStr">
        <is>
          <t>assumption</t>
        </is>
      </c>
      <c r="J56" t="inlineStr">
        <is>
          <t>PERT</t>
        </is>
      </c>
    </row>
    <row r="57">
      <c r="A57" t="inlineStr">
        <is>
          <t>denitrification_AG_N2_per_ha</t>
        </is>
      </c>
      <c r="B57" t="n">
        <v>14</v>
      </c>
      <c r="C57" t="inlineStr">
        <is>
          <t>kg N/ha/yr</t>
        </is>
      </c>
      <c r="D57" t="inlineStr">
        <is>
          <t>Annual N loss as N₂ from agricultural soils per ha of agricultural area in use</t>
        </is>
      </c>
      <c r="E57" t="inlineStr">
        <is>
          <t>Schäppi2025Ann (14 kg N/ha default for Germany)</t>
        </is>
      </c>
      <c r="F57" t="n">
        <v>7</v>
      </c>
      <c r="G57" t="n">
        <v>21</v>
      </c>
      <c r="H57" t="inlineStr">
        <is>
          <t>abs</t>
        </is>
      </c>
      <c r="I57" t="inlineStr">
        <is>
          <t>Schappi 2025</t>
        </is>
      </c>
      <c r="J57" t="inlineStr">
        <is>
          <t>PERT</t>
        </is>
      </c>
    </row>
    <row r="58">
      <c r="A58" t="inlineStr">
        <is>
          <t>AG_biological_fixation_N2</t>
        </is>
      </c>
      <c r="B58" t="n">
        <v>8</v>
      </c>
      <c r="C58" t="inlineStr">
        <is>
          <t>ktN/y</t>
        </is>
      </c>
      <c r="D58" t="inlineStr">
        <is>
          <t>mean value for BNF in agriculture</t>
        </is>
      </c>
      <c r="E58" t="inlineStr">
        <is>
          <t>Bleken&amp;Bakken</t>
        </is>
      </c>
      <c r="F58" t="n">
        <v>50</v>
      </c>
      <c r="G58" t="n">
        <v>50</v>
      </c>
      <c r="H58" t="inlineStr">
        <is>
          <t>perc</t>
        </is>
      </c>
      <c r="I58" t="inlineStr">
        <is>
          <t>assumption</t>
        </is>
      </c>
      <c r="J58" t="inlineStr">
        <is>
          <t>PERT</t>
        </is>
      </c>
    </row>
    <row r="59">
      <c r="A59" t="inlineStr">
        <is>
          <t>FO_biological_fixation_N2</t>
        </is>
      </c>
      <c r="B59" t="n">
        <v>1.5</v>
      </c>
      <c r="C59" t="inlineStr">
        <is>
          <t>kg/ha/yr</t>
        </is>
      </c>
      <c r="D59" t="inlineStr">
        <is>
          <t>mean value for BNF in forest</t>
        </is>
      </c>
      <c r="E59" t="inlineStr">
        <is>
          <t>﻿Moldan2025Whe and SSB</t>
        </is>
      </c>
      <c r="F59" t="n">
        <v>50</v>
      </c>
      <c r="G59" t="n">
        <v>50</v>
      </c>
      <c r="H59" t="inlineStr">
        <is>
          <t>perc</t>
        </is>
      </c>
      <c r="I59" t="inlineStr">
        <is>
          <t>assumption</t>
        </is>
      </c>
      <c r="J59" t="inlineStr">
        <is>
          <t>PERT</t>
        </is>
      </c>
    </row>
    <row r="60">
      <c r="A60" t="inlineStr">
        <is>
          <t>SW_biological_fixation_N2</t>
        </is>
      </c>
      <c r="B60" t="n">
        <v>2</v>
      </c>
      <c r="C60" t="inlineStr">
        <is>
          <t>ktN/y</t>
        </is>
      </c>
      <c r="D60" t="inlineStr">
        <is>
          <t>mean value for BNF in surface water</t>
        </is>
      </c>
      <c r="E60" t="inlineStr">
        <is>
          <t>NIBIO and Reddy &amp; DeLaune (2008)</t>
        </is>
      </c>
      <c r="F60" t="n">
        <v>0.5</v>
      </c>
      <c r="G60" t="n">
        <v>10</v>
      </c>
      <c r="H60" t="inlineStr">
        <is>
          <t>abs</t>
        </is>
      </c>
      <c r="I60" t="inlineStr">
        <is>
          <t>assumption</t>
        </is>
      </c>
      <c r="J60" t="inlineStr">
        <is>
          <t>PERT</t>
        </is>
      </c>
    </row>
    <row r="61">
      <c r="A61" t="inlineStr">
        <is>
          <t>forest_N2_to_N2O_ratio</t>
        </is>
      </c>
      <c r="B61" t="n">
        <v>19.5</v>
      </c>
      <c r="C61" t="inlineStr">
        <is>
          <t>–</t>
        </is>
      </c>
      <c r="D61" t="inlineStr">
        <is>
          <t>﻿N2:N2O ratio for forest ecosystems</t>
        </is>
      </c>
      <c r="E61" t="inlineStr">
        <is>
          <t>﻿Schäffi2025Ann, p. 157</t>
        </is>
      </c>
      <c r="F61" t="n">
        <v>0</v>
      </c>
      <c r="G61" t="n">
        <v>46.3</v>
      </c>
      <c r="H61" t="inlineStr">
        <is>
          <t>abs</t>
        </is>
      </c>
      <c r="I61" t="inlineStr">
        <is>
          <t>Schappi 2025</t>
        </is>
      </c>
      <c r="J61" t="inlineStr">
        <is>
          <t>PERT</t>
        </is>
      </c>
    </row>
    <row r="62">
      <c r="A62" t="inlineStr">
        <is>
          <t>trade_food_conv_uncertainty</t>
        </is>
      </c>
      <c r="B62" t="n">
        <v>10</v>
      </c>
      <c r="C62" t="inlineStr">
        <is>
          <t>-</t>
        </is>
      </c>
      <c r="D62" t="inlineStr">
        <is>
          <t>uncertainty in N contents in food items, SSB 08801</t>
        </is>
      </c>
      <c r="E62" t="inlineStr">
        <is>
          <t>assumption</t>
        </is>
      </c>
    </row>
    <row r="63">
      <c r="A63" t="inlineStr">
        <is>
          <t>seaweed_N_frac</t>
        </is>
      </c>
      <c r="B63" t="n">
        <v>0.04</v>
      </c>
      <c r="C63" t="inlineStr">
        <is>
          <t>kgN/kg</t>
        </is>
      </c>
      <c r="D63" t="inlineStr">
        <is>
          <t>N content of typical seaweed</t>
        </is>
      </c>
      <c r="E63" t="inlineStr">
        <is>
          <t>Schäppi 2025Ann, table 21</t>
        </is>
      </c>
      <c r="F63" t="n">
        <v>10</v>
      </c>
      <c r="G63" t="n">
        <v>10</v>
      </c>
      <c r="H63" t="inlineStr">
        <is>
          <t>perc</t>
        </is>
      </c>
      <c r="I63" t="inlineStr">
        <is>
          <t>assumption</t>
        </is>
      </c>
      <c r="J63" t="inlineStr">
        <is>
          <t>PERT</t>
        </is>
      </c>
    </row>
    <row r="64">
      <c r="A64" t="inlineStr">
        <is>
          <t>fu_sheep_1996</t>
        </is>
      </c>
      <c r="B64" t="n">
        <v>212.1</v>
      </c>
      <c r="C64" t="inlineStr">
        <is>
          <t>forenheter</t>
        </is>
      </c>
      <c r="D64" t="inlineStr">
        <is>
          <t>forenheter for sau i utmark (303*0,7)</t>
        </is>
      </c>
      <c r="E64" t="inlineStr">
        <is>
          <t>Hegrenes2006Ver</t>
        </is>
      </c>
      <c r="F64" t="n">
        <v>20</v>
      </c>
      <c r="G64" t="n">
        <v>20</v>
      </c>
      <c r="H64" t="inlineStr">
        <is>
          <t>perc</t>
        </is>
      </c>
      <c r="I64" t="inlineStr">
        <is>
          <t>assumption</t>
        </is>
      </c>
      <c r="J64" t="inlineStr">
        <is>
          <t>PERT</t>
        </is>
      </c>
    </row>
    <row r="65">
      <c r="A65" t="inlineStr">
        <is>
          <t>fu_cattle_1996</t>
        </is>
      </c>
      <c r="B65" t="n">
        <v>81.81</v>
      </c>
      <c r="C65" t="inlineStr">
        <is>
          <t>forenheter</t>
        </is>
      </c>
      <c r="D65" t="inlineStr">
        <is>
          <t>forenheter for storfe i utmark (303*0,27)</t>
        </is>
      </c>
      <c r="E65" t="inlineStr">
        <is>
          <t>Hegrenes2006Ver</t>
        </is>
      </c>
      <c r="F65" t="n">
        <v>20</v>
      </c>
      <c r="G65" t="n">
        <v>20</v>
      </c>
      <c r="H65" t="inlineStr">
        <is>
          <t>perc</t>
        </is>
      </c>
      <c r="I65" t="inlineStr">
        <is>
          <t>assumption</t>
        </is>
      </c>
      <c r="J65" t="inlineStr">
        <is>
          <t>PERT</t>
        </is>
      </c>
    </row>
    <row r="66">
      <c r="A66" t="inlineStr">
        <is>
          <t>fu_goat_1996</t>
        </is>
      </c>
      <c r="B66" t="n">
        <v>6.06</v>
      </c>
      <c r="C66" t="inlineStr">
        <is>
          <t>forenheter</t>
        </is>
      </c>
      <c r="D66" t="inlineStr">
        <is>
          <t>forenheter for geit i utmark (303*0,02)</t>
        </is>
      </c>
      <c r="E66" t="inlineStr">
        <is>
          <t>Hegrenes2006Ver</t>
        </is>
      </c>
      <c r="F66" t="n">
        <v>20</v>
      </c>
      <c r="G66" t="n">
        <v>20</v>
      </c>
      <c r="H66" t="inlineStr">
        <is>
          <t>perc</t>
        </is>
      </c>
      <c r="I66" t="inlineStr">
        <is>
          <t>assumption</t>
        </is>
      </c>
      <c r="J66" t="inlineStr">
        <is>
          <t>PERT</t>
        </is>
      </c>
    </row>
    <row r="67">
      <c r="A67" t="inlineStr">
        <is>
          <t>protein_cont_grazing</t>
        </is>
      </c>
      <c r="B67" t="n">
        <v>150</v>
      </c>
      <c r="C67" t="inlineStr">
        <is>
          <t>g/Fem</t>
        </is>
      </c>
      <c r="D67" t="inlineStr">
        <is>
          <t>gram protein pr forenhet</t>
        </is>
      </c>
      <c r="E67" t="inlineStr">
        <is>
          <t>assumption</t>
        </is>
      </c>
      <c r="F67" t="n">
        <v>20</v>
      </c>
      <c r="G67" t="n">
        <v>20</v>
      </c>
      <c r="H67" t="inlineStr">
        <is>
          <t>perc</t>
        </is>
      </c>
      <c r="I67" t="inlineStr">
        <is>
          <t>assumption</t>
        </is>
      </c>
      <c r="J67" t="inlineStr">
        <is>
          <t>PERT</t>
        </is>
      </c>
    </row>
    <row r="68">
      <c r="A68" t="inlineStr">
        <is>
          <t>feed_historical_dom_frac</t>
        </is>
      </c>
      <c r="B68" t="n">
        <v>0.694</v>
      </c>
      <c r="C68" t="inlineStr">
        <is>
          <t>-</t>
        </is>
      </c>
      <c r="D68" t="inlineStr">
        <is>
          <t>innenlands produsert kraftfor andel for år uten eksplisitte data (gjennomsnitt av andre år)</t>
        </is>
      </c>
      <c r="F68" t="n">
        <v>20</v>
      </c>
      <c r="G68" t="n">
        <v>20</v>
      </c>
      <c r="H68" t="inlineStr">
        <is>
          <t>perc</t>
        </is>
      </c>
      <c r="I68" t="inlineStr">
        <is>
          <t>assumption</t>
        </is>
      </c>
      <c r="J68" t="inlineStr">
        <is>
          <t>PERT</t>
        </is>
      </c>
    </row>
    <row r="69">
      <c r="A69" t="inlineStr">
        <is>
          <t>avlop_removal_default_rate</t>
        </is>
      </c>
      <c r="B69" t="n">
        <v>0.7</v>
      </c>
      <c r="C69" t="inlineStr">
        <is>
          <t>-</t>
        </is>
      </c>
      <c r="D69" t="inlineStr">
        <is>
          <t>default removal rate for sewage treatment plants with N removal</t>
        </is>
      </c>
      <c r="E69" t="inlineStr">
        <is>
          <t>assumption</t>
        </is>
      </c>
      <c r="F69" t="n">
        <v>0.5</v>
      </c>
      <c r="G69" t="n">
        <v>0.8</v>
      </c>
      <c r="H69" t="inlineStr">
        <is>
          <t>abs</t>
        </is>
      </c>
      <c r="I69" t="inlineStr">
        <is>
          <t>assumption</t>
        </is>
      </c>
      <c r="J69" t="inlineStr">
        <is>
          <t>PERT</t>
        </is>
      </c>
    </row>
    <row r="70">
      <c r="A70" t="inlineStr">
        <is>
          <t>forested_area</t>
        </is>
      </c>
      <c r="B70" t="n">
        <v>12</v>
      </c>
      <c r="C70" t="inlineStr">
        <is>
          <t>mill ha</t>
        </is>
      </c>
      <c r="D70" t="inlineStr">
        <is>
          <t>Forested area in Norway 2019-2023</t>
        </is>
      </c>
      <c r="E70" t="inlineStr">
        <is>
          <t>SSB table 14368</t>
        </is>
      </c>
      <c r="F70" t="n">
        <v>10</v>
      </c>
      <c r="G70" t="n">
        <v>10</v>
      </c>
      <c r="H70" t="inlineStr">
        <is>
          <t>perc</t>
        </is>
      </c>
      <c r="I70" t="inlineStr">
        <is>
          <t>assumption</t>
        </is>
      </c>
      <c r="J70" t="inlineStr">
        <is>
          <t>PERT</t>
        </is>
      </c>
    </row>
    <row r="71">
      <c r="A71" t="inlineStr">
        <is>
          <t>N2_fixation_freshwater_marshes</t>
        </is>
      </c>
      <c r="B71" t="n">
        <v>29</v>
      </c>
      <c r="C71" t="inlineStr">
        <is>
          <t>kgN/ha/yr</t>
        </is>
      </c>
      <c r="D71" t="inlineStr">
        <is>
          <t>N2 fixation rate</t>
        </is>
      </c>
      <c r="E71" t="inlineStr">
        <is>
          <t>Schäppi 2025Ann, table 62</t>
        </is>
      </c>
      <c r="F71" t="n">
        <v>0</v>
      </c>
      <c r="G71" t="n">
        <v>58</v>
      </c>
      <c r="H71" t="inlineStr">
        <is>
          <t>abs</t>
        </is>
      </c>
      <c r="I71" t="inlineStr">
        <is>
          <t>Schäppi 2025Ann, table 62</t>
        </is>
      </c>
      <c r="J71" t="inlineStr">
        <is>
          <t>PERT</t>
        </is>
      </c>
    </row>
    <row r="72">
      <c r="A72" t="inlineStr">
        <is>
          <t>N2_fixation_peat_bog</t>
        </is>
      </c>
      <c r="B72" t="n">
        <v>11</v>
      </c>
      <c r="C72" t="inlineStr">
        <is>
          <t>kgN/ha/yr</t>
        </is>
      </c>
      <c r="D72" t="inlineStr">
        <is>
          <t>N2 fixation rate</t>
        </is>
      </c>
      <c r="E72" t="inlineStr">
        <is>
          <t>Schäppi 2025Ann, table 62</t>
        </is>
      </c>
      <c r="F72" t="n">
        <v>0</v>
      </c>
      <c r="G72" t="n">
        <v>22</v>
      </c>
      <c r="H72" t="inlineStr">
        <is>
          <t>abs</t>
        </is>
      </c>
      <c r="I72" t="inlineStr">
        <is>
          <t>Schäppi 2025Ann, table 62</t>
        </is>
      </c>
      <c r="J72" t="inlineStr">
        <is>
          <t>PERT</t>
        </is>
      </c>
    </row>
    <row r="73">
      <c r="A73" t="inlineStr">
        <is>
          <t>N2_fixation_coastal_wetlands</t>
        </is>
      </c>
      <c r="B73" t="n">
        <v>232</v>
      </c>
      <c r="C73" t="inlineStr">
        <is>
          <t>kgN/ha/yr</t>
        </is>
      </c>
      <c r="D73" t="inlineStr">
        <is>
          <t>N2 fixation rate</t>
        </is>
      </c>
      <c r="E73" t="inlineStr">
        <is>
          <t>Schäppi 2025Ann, table 62</t>
        </is>
      </c>
      <c r="F73" t="n">
        <v>4</v>
      </c>
      <c r="G73" t="n">
        <v>460</v>
      </c>
      <c r="H73" t="inlineStr">
        <is>
          <t>abs</t>
        </is>
      </c>
      <c r="I73" t="inlineStr">
        <is>
          <t>Schäppi 2025Ann, table 62</t>
        </is>
      </c>
      <c r="J73" t="inlineStr">
        <is>
          <t>PERT</t>
        </is>
      </c>
    </row>
    <row r="74">
      <c r="A74" t="inlineStr">
        <is>
          <t>inland_marshes_area</t>
        </is>
      </c>
      <c r="B74" t="n">
        <v>296</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peat_bog_area</t>
        </is>
      </c>
      <c r="B75" t="n">
        <v>2104292</v>
      </c>
      <c r="C75" t="inlineStr">
        <is>
          <t>ha</t>
        </is>
      </c>
      <c r="D75" t="inlineStr">
        <is>
          <t>area</t>
        </is>
      </c>
      <c r="E75" t="inlineStr">
        <is>
          <t>CORINE land cover inventory</t>
        </is>
      </c>
      <c r="F75" t="n">
        <v>20</v>
      </c>
      <c r="G75" t="n">
        <v>20</v>
      </c>
      <c r="H75" t="inlineStr">
        <is>
          <t>perc</t>
        </is>
      </c>
      <c r="I75" t="inlineStr">
        <is>
          <t>assumption</t>
        </is>
      </c>
      <c r="J75" t="inlineStr">
        <is>
          <t>PERT</t>
        </is>
      </c>
    </row>
    <row r="76">
      <c r="A76" t="inlineStr">
        <is>
          <t>intertidal_flats_area</t>
        </is>
      </c>
      <c r="B76" t="n">
        <v>18272</v>
      </c>
      <c r="C76" t="inlineStr">
        <is>
          <t>ha</t>
        </is>
      </c>
      <c r="D76" t="inlineStr">
        <is>
          <t>area</t>
        </is>
      </c>
      <c r="E76" t="inlineStr">
        <is>
          <t>CORINE land cover inventory</t>
        </is>
      </c>
      <c r="F76" t="n">
        <v>20</v>
      </c>
      <c r="G76" t="n">
        <v>20</v>
      </c>
      <c r="H76" t="inlineStr">
        <is>
          <t>perc</t>
        </is>
      </c>
      <c r="I76" t="inlineStr">
        <is>
          <t>assumption</t>
        </is>
      </c>
      <c r="J76" t="inlineStr">
        <is>
          <t>PERT</t>
        </is>
      </c>
    </row>
    <row r="77">
      <c r="A77" t="inlineStr">
        <is>
          <t>surface_water_area</t>
        </is>
      </c>
      <c r="B77" t="n">
        <v>20457</v>
      </c>
      <c r="C77" t="inlineStr">
        <is>
          <t>km2</t>
        </is>
      </c>
      <c r="D77" t="inlineStr">
        <is>
          <t>area</t>
        </is>
      </c>
      <c r="E77" t="inlineStr">
        <is>
          <t>NIBIO alrealbarometer</t>
        </is>
      </c>
      <c r="F77" t="n">
        <v>10</v>
      </c>
      <c r="G77" t="n">
        <v>10</v>
      </c>
      <c r="H77" t="inlineStr">
        <is>
          <t>perc</t>
        </is>
      </c>
      <c r="I77" t="inlineStr">
        <is>
          <t>assumption</t>
        </is>
      </c>
      <c r="J77" t="inlineStr">
        <is>
          <t>PERT</t>
        </is>
      </c>
    </row>
    <row r="78">
      <c r="A78" t="inlineStr">
        <is>
          <t>N2_fixation_SW</t>
        </is>
      </c>
      <c r="B78" t="n">
        <v>0.1</v>
      </c>
      <c r="C78" t="inlineStr">
        <is>
          <t>tN/km2</t>
        </is>
      </c>
      <c r="D78" t="inlineStr">
        <is>
          <t>N2 fixation rate</t>
        </is>
      </c>
      <c r="E78" t="inlineStr">
        <is>
          <t>Schäppi 2025Ann, table 62</t>
        </is>
      </c>
      <c r="F78" t="n">
        <v>0</v>
      </c>
      <c r="G78" t="n">
        <v>2</v>
      </c>
      <c r="H78" t="inlineStr">
        <is>
          <t>abs</t>
        </is>
      </c>
      <c r="I78" t="inlineStr">
        <is>
          <t>assumption</t>
        </is>
      </c>
      <c r="J78" t="inlineStr">
        <is>
          <t>PERT</t>
        </is>
      </c>
    </row>
    <row r="79">
      <c r="A79" t="inlineStr">
        <is>
          <t>marine_feed_share_1990</t>
        </is>
      </c>
      <c r="B79" t="n">
        <v>0.894</v>
      </c>
      <c r="C79" t="inlineStr">
        <is>
          <t>-</t>
        </is>
      </c>
      <c r="D79" t="inlineStr">
        <is>
          <t>share of marine ingredients in aquaculture feed, 1990</t>
        </is>
      </c>
      <c r="E79" t="inlineStr">
        <is>
          <t>Ytrestøyl et al. 2015 (compiled in Aas et al. 2022, Fig. 1: 65.4% marine protein + 24% marine oils)</t>
        </is>
      </c>
      <c r="F79" t="n">
        <v>10</v>
      </c>
      <c r="G79" t="n">
        <v>10</v>
      </c>
      <c r="H79" t="inlineStr">
        <is>
          <t>perc</t>
        </is>
      </c>
      <c r="I79" t="inlineStr">
        <is>
          <t>assumption</t>
        </is>
      </c>
      <c r="J79" t="inlineStr">
        <is>
          <t>PERT</t>
        </is>
      </c>
    </row>
    <row r="80">
      <c r="A80" t="inlineStr">
        <is>
          <t>marine_feed_share_2020</t>
        </is>
      </c>
      <c r="B80" t="n">
        <v>0.224</v>
      </c>
      <c r="C80" t="inlineStr">
        <is>
          <t>-</t>
        </is>
      </c>
      <c r="D80" t="inlineStr">
        <is>
          <t>share of marine ingredients in aquaculture feed, 2020</t>
        </is>
      </c>
      <c r="E80" t="inlineStr">
        <is>
          <t>Aas et al. 2022, Fig. 1 / abstract (12.1% marine protein + 10.3% marine oils, exact)</t>
        </is>
      </c>
      <c r="F80" t="n">
        <v>5</v>
      </c>
      <c r="G80" t="n">
        <v>5</v>
      </c>
      <c r="H80" t="inlineStr">
        <is>
          <t>perc</t>
        </is>
      </c>
      <c r="I80" t="inlineStr">
        <is>
          <t>assumption</t>
        </is>
      </c>
      <c r="J80" t="inlineStr">
        <is>
          <t>PERT</t>
        </is>
      </c>
    </row>
    <row r="81">
      <c r="A81" t="inlineStr">
        <is>
          <t>innmark_prp_fraction</t>
        </is>
      </c>
      <c r="B81" t="n">
        <v>0.53</v>
      </c>
      <c r="C81" t="inlineStr">
        <is>
          <t>fraction</t>
        </is>
      </c>
      <c r="D81" t="inlineStr">
        <is>
          <t>Share of manure deposited during grazing (PRP) assumed to land on agricultural grazing land (innmark) rather than unmanaged land (utmark)</t>
        </is>
      </c>
      <c r="E81" t="inlineStr">
        <is>
          <t>Own estimate: national PRP (UNFCCC CRT Table3.D) apportioned by animal category using population, excretion factors and PRP fractions from Miljodirektoratet (2020) Tables 2-3, combined with typical Norwegian grazing-practice assumptions per species</t>
        </is>
      </c>
      <c r="F81" t="n">
        <v>0.44</v>
      </c>
      <c r="G81" t="n">
        <v>0.62</v>
      </c>
      <c r="H81" t="inlineStr">
        <is>
          <t>abs</t>
        </is>
      </c>
      <c r="I81" t="inlineStr">
        <is>
          <t>own estimate, see source column</t>
        </is>
      </c>
      <c r="J81" t="inlineStr">
        <is>
          <t>PERT</t>
        </is>
      </c>
    </row>
    <row r="82">
      <c r="A82" t="inlineStr">
        <is>
          <t>lost_fish_avg_weight</t>
        </is>
      </c>
      <c r="B82" t="n">
        <v>0.7</v>
      </c>
      <c r="C82" t="inlineStr">
        <is>
          <t>kg per fish</t>
        </is>
      </c>
      <c r="D82" t="inlineStr">
        <is>
          <t>average weight of lost fish from aquaculture</t>
        </is>
      </c>
      <c r="E82" t="inlineStr">
        <is>
          <t>HI 2016 / Iversen et al. 2015</t>
        </is>
      </c>
      <c r="F82" t="n">
        <v>0.5</v>
      </c>
      <c r="G82" t="n">
        <v>1.9</v>
      </c>
      <c r="H82" t="inlineStr">
        <is>
          <t>abs</t>
        </is>
      </c>
      <c r="I82" t="inlineStr">
        <is>
          <t>HI 2016 / Iversen et al. 2015</t>
        </is>
      </c>
      <c r="J82" t="inlineStr">
        <is>
          <t>PERT</t>
        </is>
      </c>
    </row>
    <row r="83">
      <c r="A83" t="inlineStr">
        <is>
          <t>green_fodder_DM_frac</t>
        </is>
      </c>
      <c r="B83" t="n">
        <v>0.25</v>
      </c>
      <c r="C83" t="inlineStr">
        <is>
          <t>kg DM/kg</t>
        </is>
      </c>
      <c r="D83" t="inlineStr">
        <is>
          <t>Dry matter fraction of SSB's 'Grønfôr- og silovekstar' yield (tables 13648, 05772, Jordbruksstatistikk), which is reported as fresh/ensiled weight, not dry matter</t>
        </is>
      </c>
      <c r="E83"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83" t="n">
        <v>0.15</v>
      </c>
      <c r="G83" t="n">
        <v>0.4</v>
      </c>
      <c r="H83" t="inlineStr">
        <is>
          <t>abs</t>
        </is>
      </c>
      <c r="I83" t="inlineStr">
        <is>
          <t>own estimate, see source column</t>
        </is>
      </c>
      <c r="J83" t="inlineStr">
        <is>
          <t>PERT</t>
        </is>
      </c>
    </row>
    <row r="84">
      <c r="A84" t="inlineStr">
        <is>
          <t>hay_energy_to_DM_basis_frac</t>
        </is>
      </c>
      <c r="B84" t="n">
        <v>0.733</v>
      </c>
      <c r="C84" t="inlineStr">
        <is>
          <t>kg/kg</t>
        </is>
      </c>
      <c r="D84" t="inlineStr">
        <is>
          <t>Ratio of SSB hay yield converted via dry matter to hay yield converted on energy basis; applied to eng til slått before 1995</t>
        </is>
      </c>
      <c r="E84" t="inlineStr">
        <is>
          <t>Ratio of revised 1995/1996 hay yields (2395.7/2504.1 kt, Jordbruksstatistikk 1997 Tabell 2.2) to the energy-basis yields for the same years (3274/3411 kt, Jordbruksstatistikk 1995 and 1996 Tabell 2.1): 0.732 and 0.734</t>
        </is>
      </c>
      <c r="F84" t="n">
        <v>0.7</v>
      </c>
      <c r="G84" t="n">
        <v>0.77</v>
      </c>
      <c r="H84" t="inlineStr">
        <is>
          <t>abs</t>
        </is>
      </c>
      <c r="I84" t="inlineStr">
        <is>
          <t>assumption</t>
        </is>
      </c>
      <c r="J84" t="inlineStr">
        <is>
          <t>PERT</t>
        </is>
      </c>
    </row>
    <row r="85">
      <c r="A85" t="inlineStr">
        <is>
          <t>hay_DM_frac</t>
        </is>
      </c>
      <c r="B85" t="n">
        <v>0.85</v>
      </c>
      <c r="C85" t="inlineStr">
        <is>
          <t>kg DM/kg</t>
        </is>
      </c>
      <c r="D85" t="inlineStr">
        <is>
          <t>Dry matter fraction of SSB's hay yield for eng til slått 1984–2020 (reported as hay, not dry matter)</t>
        </is>
      </c>
      <c r="E85"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5" t="n">
        <v>0.8</v>
      </c>
      <c r="G85" t="n">
        <v>0.88</v>
      </c>
      <c r="H85" t="inlineStr">
        <is>
          <t>abs</t>
        </is>
      </c>
      <c r="I85" t="inlineStr">
        <is>
          <t>assumption</t>
        </is>
      </c>
      <c r="J85" t="inlineStr">
        <is>
          <t>PERT</t>
        </is>
      </c>
    </row>
    <row r="86">
      <c r="A86" t="inlineStr">
        <is>
          <t>soy_meal_share_of_concentrates</t>
        </is>
      </c>
      <c r="B86" t="n">
        <v>0.093</v>
      </c>
      <c r="C86" t="inlineStr">
        <is>
          <t>kg/kg</t>
        </is>
      </c>
      <c r="D86" t="inlineStr">
        <is>
          <t>share of domestically produced protein concentrates that is imported soy</t>
        </is>
      </c>
      <c r="E86" t="inlineStr">
        <is>
          <t>Landbruksdirektoratet, «Årlig råvareforbruk», andelen norsk soyamel av totalt kraftfôr i 2000–2004</t>
        </is>
      </c>
      <c r="F86" t="n">
        <v>0.075</v>
      </c>
      <c r="G86" t="n">
        <v>0.102</v>
      </c>
      <c r="H86" t="inlineStr">
        <is>
          <t>abs</t>
        </is>
      </c>
      <c r="I86" t="inlineStr">
        <is>
          <t>assumption</t>
        </is>
      </c>
      <c r="J86" t="inlineStr">
        <is>
          <t>PERT</t>
        </is>
      </c>
    </row>
    <row r="87">
      <c r="A87" t="inlineStr">
        <is>
          <t>food_waste_N_frac</t>
        </is>
      </c>
      <c r="B87" t="n">
        <v>0.0128</v>
      </c>
      <c r="C87" t="inlineStr">
        <is>
          <t>kg N/kg</t>
        </is>
      </c>
      <c r="D87" t="inlineStr">
        <is>
          <t>Mean N content of food wasted downstream of the food industry (wholesale, retail, food service, catering, institutions)</t>
        </is>
      </c>
      <c r="E87" t="inlineStr">
        <is>
          <t>FAOSTAT Food Balance Sheets, 'Food' quantity by item 2010-2023, weighted by N content in Schäppi 2025Ann Table 21</t>
        </is>
      </c>
      <c r="F87" t="n">
        <v>20</v>
      </c>
      <c r="G87" t="n">
        <v>20</v>
      </c>
      <c r="H87" t="inlineStr">
        <is>
          <t>perc</t>
        </is>
      </c>
      <c r="I87" t="inlineStr">
        <is>
          <t>assumption</t>
        </is>
      </c>
      <c r="J87"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D13" sqref="D13"/>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0.0026</v>
      </c>
      <c r="C8" t="inlineStr">
        <is>
          <t>kg N/kg</t>
        </is>
      </c>
      <c r="D8" t="inlineStr">
        <is>
          <t>N content in sewage sludge</t>
        </is>
      </c>
      <c r="E8" t="inlineStr">
        <is>
          <t>Schäppi 2025Ann, table 54</t>
        </is>
      </c>
      <c r="F8" t="n">
        <v>20</v>
      </c>
      <c r="G8" t="n">
        <v>20</v>
      </c>
      <c r="H8" t="inlineStr">
        <is>
          <t>perc</t>
        </is>
      </c>
      <c r="I8" t="inlineStr">
        <is>
          <t>assumption</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compost_old</t>
        </is>
      </c>
      <c r="B17" t="n">
        <v>0.0063</v>
      </c>
      <c r="C17" t="inlineStr">
        <is>
          <t>kg N/kg</t>
        </is>
      </c>
      <c r="D17" t="inlineStr">
        <is>
          <t>N content in compost (older SSB series)</t>
        </is>
      </c>
      <c r="E17" t="inlineStr">
        <is>
          <t>NLR article on compost</t>
        </is>
      </c>
      <c r="F17" t="n">
        <v>30</v>
      </c>
      <c r="G17" t="n">
        <v>30</v>
      </c>
      <c r="H17" t="inlineStr">
        <is>
          <t>perc</t>
        </is>
      </c>
      <c r="I17" t="inlineStr">
        <is>
          <t>assumption</t>
        </is>
      </c>
      <c r="J17" t="inlineStr">
        <is>
          <t>log-normal</t>
        </is>
      </c>
    </row>
    <row r="18">
      <c r="A18" t="inlineStr">
        <is>
          <t>compost_new</t>
        </is>
      </c>
      <c r="B18" t="n">
        <v>0.0135</v>
      </c>
      <c r="C18" t="inlineStr">
        <is>
          <t>kg N/kg</t>
        </is>
      </c>
      <c r="D18" t="inlineStr">
        <is>
          <t>N content in total compost (“all waste types”)</t>
        </is>
      </c>
      <c r="E18" t="inlineStr">
        <is>
          <t>own assumption</t>
        </is>
      </c>
      <c r="F18" t="n">
        <v>20</v>
      </c>
      <c r="G18" t="n">
        <v>20</v>
      </c>
      <c r="H18" t="inlineStr">
        <is>
          <t>perc</t>
        </is>
      </c>
      <c r="I18" t="inlineStr">
        <is>
          <t>assumption</t>
        </is>
      </c>
      <c r="J18" t="inlineStr">
        <is>
          <t>PERT</t>
        </is>
      </c>
    </row>
    <row r="19">
      <c r="A19" t="inlineStr">
        <is>
          <t>compost_N_loss</t>
        </is>
      </c>
      <c r="B19" t="n">
        <v>0.3</v>
      </c>
      <c r="C19" t="inlineStr">
        <is>
          <t>–</t>
        </is>
      </c>
      <c r="D19" t="inlineStr">
        <is>
          <t>Fraction of N lost during composting</t>
        </is>
      </c>
      <c r="E19" t="inlineStr">
        <is>
          <t>model assumption</t>
        </is>
      </c>
      <c r="F19" t="n">
        <v>0.1</v>
      </c>
      <c r="G19" t="n">
        <v>0.7</v>
      </c>
      <c r="H19" t="inlineStr">
        <is>
          <t>abs</t>
        </is>
      </c>
      <c r="I19" t="inlineStr">
        <is>
          <t>assumption</t>
        </is>
      </c>
      <c r="J19" t="inlineStr">
        <is>
          <t>PERT</t>
        </is>
      </c>
    </row>
    <row r="20">
      <c r="A20" t="inlineStr">
        <is>
          <t>common_sludge</t>
        </is>
      </c>
      <c r="B20" t="n">
        <v>0.044</v>
      </c>
      <c r="C20" t="inlineStr">
        <is>
          <t>kg N/kg</t>
        </is>
      </c>
      <c r="D20" t="inlineStr">
        <is>
          <t>N content in common waste sludges</t>
        </is>
      </c>
      <c r="E20" t="inlineStr">
        <is>
          <t>Schäppi 2025Ann, tab 50</t>
        </is>
      </c>
      <c r="F20" t="n">
        <v>0.0001</v>
      </c>
      <c r="G20" t="n">
        <v>0.078</v>
      </c>
      <c r="H20" t="inlineStr">
        <is>
          <t>abs</t>
        </is>
      </c>
      <c r="I20" t="inlineStr">
        <is>
          <t>assumption</t>
        </is>
      </c>
      <c r="J20" t="inlineStr">
        <is>
          <t>log-normal</t>
        </is>
      </c>
    </row>
    <row r="21">
      <c r="A21" t="inlineStr">
        <is>
          <t>biologically_treated</t>
        </is>
      </c>
      <c r="B21" t="n">
        <v>0.0135</v>
      </c>
      <c r="C21" t="inlineStr">
        <is>
          <t>kgN/kj</t>
        </is>
      </c>
      <c r="D21" t="inlineStr">
        <is>
          <t>N content in biologically treated waste (digestate and compost)</t>
        </is>
      </c>
      <c r="E21" t="inlineStr">
        <is>
          <t>own assumption</t>
        </is>
      </c>
      <c r="F21" t="n">
        <v>50</v>
      </c>
      <c r="G21" t="n">
        <v>50</v>
      </c>
      <c r="H21" t="inlineStr">
        <is>
          <t>perc</t>
        </is>
      </c>
      <c r="I21" t="inlineStr">
        <is>
          <t>assumption</t>
        </is>
      </c>
      <c r="J21" t="inlineStr">
        <is>
          <t>log-normal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4"/>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beitestatistikk</t>
        </is>
      </c>
      <c r="B27" s="9" t="inlineStr">
        <is>
          <t>NIBIO</t>
        </is>
      </c>
      <c r="C27" s="9" t="n">
        <v>20</v>
      </c>
      <c r="D27" s="9" t="n">
        <v>10</v>
      </c>
      <c r="E27" t="inlineStr">
        <is>
          <t>perc</t>
        </is>
      </c>
      <c r="F27" s="9" t="inlineStr">
        <is>
          <t>assumed</t>
        </is>
      </c>
      <c r="G27" s="9" t="inlineStr">
        <is>
          <t>PERT</t>
        </is>
      </c>
    </row>
    <row r="28">
      <c r="A28" s="10" t="inlineStr">
        <is>
          <t>Biogass</t>
        </is>
      </c>
      <c r="B28" t="inlineStr">
        <is>
          <t>Landbruksdirektoratet</t>
        </is>
      </c>
      <c r="C28" t="n">
        <v>20</v>
      </c>
      <c r="D28" t="n">
        <v>20</v>
      </c>
      <c r="E28" t="inlineStr">
        <is>
          <t>perc</t>
        </is>
      </c>
      <c r="F28" s="9" t="inlineStr">
        <is>
          <t>Schäppi2025Ann: current official statistics</t>
        </is>
      </c>
      <c r="G28" t="inlineStr">
        <is>
          <t>PERT</t>
        </is>
      </c>
    </row>
    <row r="29">
      <c r="A29" s="10" t="inlineStr">
        <is>
          <t>Biogass_Norge</t>
        </is>
      </c>
      <c r="B29" s="9" t="inlineStr">
        <is>
          <t>Biogass Norge</t>
        </is>
      </c>
      <c r="C29" s="9" t="n">
        <v>30</v>
      </c>
      <c r="D29" s="9" t="n">
        <v>30</v>
      </c>
      <c r="E29" t="inlineStr">
        <is>
          <t>perc</t>
        </is>
      </c>
      <c r="F29" s="9" t="inlineStr">
        <is>
          <t>assumed</t>
        </is>
      </c>
      <c r="G29" t="inlineStr">
        <is>
          <t>PERT</t>
        </is>
      </c>
    </row>
    <row r="30">
      <c r="A30" s="10" t="inlineStr">
        <is>
          <t>Commodity balances</t>
        </is>
      </c>
      <c r="B30" t="inlineStr">
        <is>
          <t>FAOSTAT</t>
        </is>
      </c>
      <c r="C30" t="n">
        <v>50</v>
      </c>
      <c r="D30" t="n">
        <v>50</v>
      </c>
      <c r="E30" t="inlineStr">
        <is>
          <t>perc</t>
        </is>
      </c>
      <c r="F30" t="inlineStr">
        <is>
          <t>Schäppi2025Ann: current official statistics</t>
        </is>
      </c>
      <c r="G30" t="inlineStr">
        <is>
          <t>PERT</t>
        </is>
      </c>
    </row>
    <row r="31">
      <c r="A31" s="10" t="inlineStr">
        <is>
          <t>CRLTAP</t>
        </is>
      </c>
      <c r="B31" t="inlineStr">
        <is>
          <t>CRLTAP inventory submissions</t>
        </is>
      </c>
      <c r="C31" t="n">
        <v>50</v>
      </c>
      <c r="D31" t="n">
        <v>50</v>
      </c>
      <c r="E31" t="inlineStr">
        <is>
          <t>perc</t>
        </is>
      </c>
      <c r="F31" t="inlineStr">
        <is>
          <t>assumed</t>
        </is>
      </c>
      <c r="G31" t="inlineStr">
        <is>
          <t>PERT</t>
        </is>
      </c>
    </row>
    <row r="32">
      <c r="A32" s="10" t="inlineStr">
        <is>
          <t>Crops and livestock products</t>
        </is>
      </c>
      <c r="B32" t="inlineStr">
        <is>
          <t>FAOSTAT</t>
        </is>
      </c>
      <c r="C32" t="n">
        <v>50</v>
      </c>
      <c r="D32" t="n">
        <v>50</v>
      </c>
      <c r="E32" t="inlineStr">
        <is>
          <t>perc</t>
        </is>
      </c>
      <c r="F32" t="inlineStr">
        <is>
          <t>Schäppi2025Ann: current official statistics</t>
        </is>
      </c>
      <c r="G32" t="inlineStr">
        <is>
          <t>PERT</t>
        </is>
      </c>
    </row>
    <row r="33">
      <c r="A33" s="10" t="inlineStr">
        <is>
          <t>Deposition</t>
        </is>
      </c>
      <c r="B33" t="inlineStr">
        <is>
          <t>NILU</t>
        </is>
      </c>
      <c r="C33" t="n">
        <v>70</v>
      </c>
      <c r="D33" t="n">
        <v>30</v>
      </c>
      <c r="E33" t="inlineStr">
        <is>
          <t>perc</t>
        </is>
      </c>
      <c r="F33" t="inlineStr">
        <is>
          <t>Blake2023Dep: "large uncertainty"</t>
        </is>
      </c>
      <c r="G33" t="inlineStr">
        <is>
          <t>PERT</t>
        </is>
      </c>
    </row>
    <row r="34">
      <c r="A34" s="10" t="inlineStr">
        <is>
          <t>Fertilizer by nutrient</t>
        </is>
      </c>
      <c r="B34" t="inlineStr">
        <is>
          <t>FAOSTAT</t>
        </is>
      </c>
      <c r="C34" t="n">
        <v>30</v>
      </c>
      <c r="D34" t="n">
        <v>30</v>
      </c>
      <c r="E34" t="inlineStr">
        <is>
          <t>perc</t>
        </is>
      </c>
      <c r="F34" t="inlineStr">
        <is>
          <t>Schäppi2025Ann: current official statistics</t>
        </is>
      </c>
      <c r="G34" t="inlineStr">
        <is>
          <t>PERT</t>
        </is>
      </c>
    </row>
    <row r="35">
      <c r="A35" s="10" t="inlineStr">
        <is>
          <t>Fiskeridirektoratet</t>
        </is>
      </c>
      <c r="B35" t="inlineStr">
        <is>
          <t>Fiskeridirektoratet</t>
        </is>
      </c>
      <c r="C35" t="n">
        <v>20</v>
      </c>
      <c r="D35" t="n">
        <v>20</v>
      </c>
      <c r="E35" t="inlineStr">
        <is>
          <t>perc</t>
        </is>
      </c>
      <c r="F35" t="inlineStr">
        <is>
          <t>Schäppi2025Ann: current official statistics</t>
        </is>
      </c>
      <c r="G35" t="inlineStr">
        <is>
          <t>PERT</t>
        </is>
      </c>
    </row>
    <row r="36">
      <c r="A36" s="10" t="inlineStr">
        <is>
          <t>Forestry production and trade</t>
        </is>
      </c>
      <c r="B36" t="inlineStr">
        <is>
          <t>FAOSTAT</t>
        </is>
      </c>
      <c r="C36" t="n">
        <v>20</v>
      </c>
      <c r="D36" t="n">
        <v>20</v>
      </c>
      <c r="E36" t="inlineStr">
        <is>
          <t>perc</t>
        </is>
      </c>
      <c r="F36" t="inlineStr">
        <is>
          <t>Schäppi2025Ann: current official statistics</t>
        </is>
      </c>
      <c r="G36" t="inlineStr">
        <is>
          <t>PERT</t>
        </is>
      </c>
    </row>
    <row r="37">
      <c r="A37" s="10" t="inlineStr">
        <is>
          <t>Gross nutrient balance</t>
        </is>
      </c>
      <c r="B37" t="inlineStr">
        <is>
          <t>Eurostat</t>
        </is>
      </c>
      <c r="C37" t="n">
        <v>50</v>
      </c>
      <c r="D37" t="n">
        <v>50</v>
      </c>
      <c r="E37" t="inlineStr">
        <is>
          <t>perc</t>
        </is>
      </c>
      <c r="F37" t="inlineStr">
        <is>
          <t>Schäppi2025Ann: current official statistics</t>
        </is>
      </c>
      <c r="G37" t="inlineStr">
        <is>
          <t>PERT</t>
        </is>
      </c>
    </row>
    <row r="38">
      <c r="A38" s="10" t="inlineStr">
        <is>
          <t>historical_waste</t>
        </is>
      </c>
      <c r="B38" s="9" t="inlineStr">
        <is>
          <t>SSB</t>
        </is>
      </c>
      <c r="C38" s="9" t="n">
        <v>80</v>
      </c>
      <c r="D38" s="9" t="n">
        <v>80</v>
      </c>
      <c r="E38" t="inlineStr">
        <is>
          <t>perc</t>
        </is>
      </c>
      <c r="F38" s="9" t="inlineStr">
        <is>
          <t>assumed</t>
        </is>
      </c>
      <c r="G38" s="9" t="inlineStr">
        <is>
          <t>PERT</t>
        </is>
      </c>
    </row>
    <row r="39">
      <c r="A39" s="10" t="inlineStr">
        <is>
          <t>Kraftforstatistikk</t>
        </is>
      </c>
      <c r="B39" t="inlineStr">
        <is>
          <t>Landbruksdirektoratet</t>
        </is>
      </c>
      <c r="C39" t="n">
        <v>20</v>
      </c>
      <c r="D39" t="n">
        <v>20</v>
      </c>
      <c r="E39" t="inlineStr">
        <is>
          <t>perc</t>
        </is>
      </c>
      <c r="F39" t="inlineStr">
        <is>
          <t>Schäppi2025Ann: current official statistics</t>
        </is>
      </c>
      <c r="G39" t="inlineStr">
        <is>
          <t>PERT</t>
        </is>
      </c>
    </row>
    <row r="40">
      <c r="A40" s="10" t="inlineStr">
        <is>
          <t>Landbruksdirektoratet_wool</t>
        </is>
      </c>
      <c r="B40" t="inlineStr">
        <is>
          <t>Landbruksdirektoratet</t>
        </is>
      </c>
      <c r="C40" t="n">
        <v>20</v>
      </c>
      <c r="D40" t="n">
        <v>20</v>
      </c>
      <c r="E40" t="inlineStr">
        <is>
          <t>perc</t>
        </is>
      </c>
      <c r="F40" t="inlineStr">
        <is>
          <t>Schäppi2025Ann: current official statistics</t>
        </is>
      </c>
      <c r="G40" t="inlineStr">
        <is>
          <t>PERT</t>
        </is>
      </c>
    </row>
    <row r="41">
      <c r="A41" s="10" t="inlineStr">
        <is>
          <t>mass_balance</t>
        </is>
      </c>
      <c r="B41" t="inlineStr">
        <is>
          <t>mass balance</t>
        </is>
      </c>
      <c r="C41" t="n">
        <v>30</v>
      </c>
      <c r="D41" t="n">
        <v>30</v>
      </c>
      <c r="E41" t="inlineStr">
        <is>
          <t>perc</t>
        </is>
      </c>
      <c r="F41" t="inlineStr">
        <is>
          <t>assumed</t>
        </is>
      </c>
      <c r="G41" t="inlineStr">
        <is>
          <t>PERT</t>
        </is>
      </c>
    </row>
    <row r="42">
      <c r="A42" s="10" t="inlineStr">
        <is>
          <t>nitrogenrensing_avlop</t>
        </is>
      </c>
      <c r="B42" s="9" t="inlineStr">
        <is>
          <t>Miljødirektoratet</t>
        </is>
      </c>
      <c r="C42" s="9" t="n">
        <v>20</v>
      </c>
      <c r="D42" s="9" t="n">
        <v>20</v>
      </c>
      <c r="E42" t="inlineStr">
        <is>
          <t>perc</t>
        </is>
      </c>
      <c r="F42" s="9" t="inlineStr">
        <is>
          <t>assumed</t>
        </is>
      </c>
      <c r="G42" s="9" t="inlineStr">
        <is>
          <t>PERT</t>
        </is>
      </c>
    </row>
    <row r="43">
      <c r="A43" s="10" t="inlineStr">
        <is>
          <t>norskeutslipp</t>
        </is>
      </c>
      <c r="B43" t="inlineStr">
        <is>
          <t>Miljødirektoratet</t>
        </is>
      </c>
      <c r="C43" t="n">
        <v>50</v>
      </c>
      <c r="D43" t="n">
        <v>50</v>
      </c>
      <c r="E43" t="inlineStr">
        <is>
          <t>perc</t>
        </is>
      </c>
      <c r="F43" t="inlineStr">
        <is>
          <t>Schäppi2025Ann: current official statistics</t>
        </is>
      </c>
      <c r="G43" t="inlineStr">
        <is>
          <t>PERT</t>
        </is>
      </c>
    </row>
    <row r="44">
      <c r="A44" s="10" t="inlineStr">
        <is>
          <t>skoggjødsling_historisk</t>
        </is>
      </c>
      <c r="B44" s="9" t="inlineStr">
        <is>
          <t>NIBIO</t>
        </is>
      </c>
      <c r="C44" s="9" t="n">
        <v>30</v>
      </c>
      <c r="D44" s="9" t="n">
        <v>30</v>
      </c>
      <c r="E44" t="inlineStr">
        <is>
          <t>perc</t>
        </is>
      </c>
      <c r="F44" s="9" t="inlineStr">
        <is>
          <t>assumed</t>
        </is>
      </c>
      <c r="G44" s="9" t="inlineStr">
        <is>
          <t>PERT</t>
        </is>
      </c>
    </row>
    <row r="45">
      <c r="A45" s="10" t="inlineStr">
        <is>
          <t>slamdisponering</t>
        </is>
      </c>
      <c r="B45" s="9" t="inlineStr">
        <is>
          <t>SSB</t>
        </is>
      </c>
      <c r="C45" s="9" t="n">
        <v>50</v>
      </c>
      <c r="D45" s="9" t="n">
        <v>50</v>
      </c>
      <c r="E45" t="inlineStr">
        <is>
          <t>perc</t>
        </is>
      </c>
      <c r="F45" s="9" t="inlineStr">
        <is>
          <t>assumed</t>
        </is>
      </c>
      <c r="G45" s="9" t="inlineStr">
        <is>
          <t>PERT</t>
        </is>
      </c>
    </row>
    <row r="46">
      <c r="A46" s="10" t="inlineStr">
        <is>
          <t>Source-receptor</t>
        </is>
      </c>
      <c r="B46" t="inlineStr">
        <is>
          <t>EMEP</t>
        </is>
      </c>
      <c r="C46" t="n">
        <v>50</v>
      </c>
      <c r="D46" t="n">
        <v>50</v>
      </c>
      <c r="E46" t="inlineStr">
        <is>
          <t>perc</t>
        </is>
      </c>
      <c r="F46" t="inlineStr">
        <is>
          <t>assumed</t>
        </is>
      </c>
      <c r="G46" t="inlineStr">
        <is>
          <t>PERT</t>
        </is>
      </c>
    </row>
    <row r="47">
      <c r="A47" s="10" t="inlineStr">
        <is>
          <t>TEOTIL</t>
        </is>
      </c>
      <c r="B47" t="inlineStr">
        <is>
          <t>NIVA</t>
        </is>
      </c>
      <c r="C47" t="n">
        <v>20</v>
      </c>
      <c r="D47" t="n">
        <v>20</v>
      </c>
      <c r="E47" t="inlineStr">
        <is>
          <t>perc</t>
        </is>
      </c>
      <c r="F47" t="inlineStr">
        <is>
          <t>Schäppi2025Ann: measurement data/data from appropriate literature</t>
        </is>
      </c>
      <c r="G47" t="inlineStr">
        <is>
          <t>PERT</t>
        </is>
      </c>
    </row>
    <row r="48">
      <c r="A48" s="10" t="inlineStr">
        <is>
          <t>Totalkalkylen</t>
        </is>
      </c>
      <c r="B48" t="inlineStr">
        <is>
          <t>NIBIO</t>
        </is>
      </c>
      <c r="C48" t="n">
        <v>20</v>
      </c>
      <c r="D48" t="n">
        <v>20</v>
      </c>
      <c r="E48" t="inlineStr">
        <is>
          <t>perc</t>
        </is>
      </c>
      <c r="F48" t="inlineStr">
        <is>
          <t>Schäppi2025Ann: current official statistics</t>
        </is>
      </c>
      <c r="G48" t="inlineStr">
        <is>
          <t>PERT</t>
        </is>
      </c>
    </row>
    <row r="49">
      <c r="A49" s="10" t="inlineStr">
        <is>
          <t>trend interpolation</t>
        </is>
      </c>
      <c r="B49" t="inlineStr">
        <is>
          <t>-</t>
        </is>
      </c>
      <c r="C49" t="n">
        <v>50</v>
      </c>
      <c r="D49" t="n">
        <v>50</v>
      </c>
      <c r="E49" t="inlineStr">
        <is>
          <t>perc</t>
        </is>
      </c>
      <c r="F49" t="inlineStr">
        <is>
          <t>assumed, to be used for interpolated values</t>
        </is>
      </c>
      <c r="G49" t="inlineStr">
        <is>
          <t>PERT</t>
        </is>
      </c>
    </row>
    <row r="50">
      <c r="A50" s="10" t="inlineStr">
        <is>
          <t>utslipp_avløp</t>
        </is>
      </c>
      <c r="B50" s="9" t="inlineStr">
        <is>
          <t>SSB</t>
        </is>
      </c>
      <c r="C50" s="9" t="n">
        <v>50</v>
      </c>
      <c r="D50" s="9" t="n">
        <v>50</v>
      </c>
      <c r="E50" t="inlineStr">
        <is>
          <t>perc</t>
        </is>
      </c>
      <c r="F50" s="9" t="inlineStr">
        <is>
          <t>assumed</t>
        </is>
      </c>
      <c r="G50" s="9" t="inlineStr">
        <is>
          <t>PERT</t>
        </is>
      </c>
    </row>
    <row r="51">
      <c r="A51" s="10" t="inlineStr">
        <is>
          <t>UNFCCC_N2O_energy</t>
        </is>
      </c>
      <c r="B51" t="inlineStr">
        <is>
          <t>UNFCCC</t>
        </is>
      </c>
      <c r="C51" t="n">
        <v>66.7</v>
      </c>
      <c r="D51" t="n">
        <v>200</v>
      </c>
      <c r="E51" t="inlineStr">
        <is>
          <t>perc</t>
        </is>
      </c>
      <c r="F51" t="inlineStr">
        <is>
          <t>Norway NID Annexes 2025, Annex 2, Table A2-2 (s. A2-9/A2-10): N2O-utslippsfaktor for 1A1/1A2/1A4/1A5-forbrenning og 1B2C flaring/brønntesting = "Fac3", lognormal (2σ er faktor 3 opp/ned)</t>
        </is>
      </c>
      <c r="G51" t="inlineStr">
        <is>
          <t>PERT</t>
        </is>
      </c>
    </row>
    <row r="52">
      <c r="A52" s="10" t="inlineStr">
        <is>
          <t>UNFCCC_N2O_transport</t>
        </is>
      </c>
      <c r="B52" t="inlineStr">
        <is>
          <t>UNFCCC</t>
        </is>
      </c>
      <c r="C52" t="n">
        <v>65</v>
      </c>
      <c r="D52" t="n">
        <v>65</v>
      </c>
      <c r="E52" t="inlineStr">
        <is>
          <t>perc</t>
        </is>
      </c>
      <c r="F52" t="inlineStr">
        <is>
          <t xml:space="preserve">Norway NID Annexes 2025, Annex 2, Table A2-2 (s. A2-9): 1A3B veitransport N2O = 65 %, lognormal (Gustafsson 2005). </t>
        </is>
      </c>
      <c r="G52" t="inlineStr">
        <is>
          <t>PERT</t>
        </is>
      </c>
    </row>
    <row r="53">
      <c r="A53" s="10" t="inlineStr">
        <is>
          <t>UNFCCC_N2O_agri_manure</t>
        </is>
      </c>
      <c r="B53" t="inlineStr">
        <is>
          <t>UNFCCC</t>
        </is>
      </c>
      <c r="C53" t="n">
        <v>50</v>
      </c>
      <c r="D53" t="n">
        <v>100</v>
      </c>
      <c r="E53" t="inlineStr">
        <is>
          <t>perc</t>
        </is>
      </c>
      <c r="F53" t="inlineStr">
        <is>
          <t>Norway NID Annexes 2025, Annex 2, Table A2-2 (s. A2-12): 3B husdyrgjødsel N2O = "Fac2", lognormal (IPCC 2006)</t>
        </is>
      </c>
      <c r="G53" t="inlineStr">
        <is>
          <t>PERT</t>
        </is>
      </c>
    </row>
    <row r="54">
      <c r="A54" s="10" t="inlineStr">
        <is>
          <t>UNFCCC_N2O_agri_soils</t>
        </is>
      </c>
      <c r="B54" t="inlineStr">
        <is>
          <t>UNFCCC</t>
        </is>
      </c>
      <c r="C54" t="n">
        <v>66.7</v>
      </c>
      <c r="D54" t="n">
        <v>200</v>
      </c>
      <c r="E54" t="inlineStr">
        <is>
          <t>perc</t>
        </is>
      </c>
      <c r="F54" t="inlineStr">
        <is>
          <t>Norway NID Annexes 2025, Annex 2, Table A2-2 (s. A2-12): 3Da2-4 direkte jordutslipp og 3Db2 lekkasje/avrenning N2O = begge "Fac3", lognormal (IPCC 2006)</t>
        </is>
      </c>
      <c r="G54" t="inlineStr">
        <is>
          <t>PERT</t>
        </is>
      </c>
    </row>
    <row r="55">
      <c r="A55" s="10" t="inlineStr">
        <is>
          <t>UNFCCC_N2O_industry</t>
        </is>
      </c>
      <c r="B55" t="inlineStr">
        <is>
          <t>UNFCCC</t>
        </is>
      </c>
      <c r="C55" t="n">
        <v>7</v>
      </c>
      <c r="D55" t="n">
        <v>7</v>
      </c>
      <c r="E55" t="inlineStr">
        <is>
          <t>perc</t>
        </is>
      </c>
      <c r="F55" t="inlineStr">
        <is>
          <t>Norway NID Annexes 2025, Annex 2 s. A2-10: 2B2 salpetersyre N2O=7% (dominerende delkomponent i MP.OP)</t>
        </is>
      </c>
      <c r="G55" t="inlineStr">
        <is>
          <t>log-normal</t>
        </is>
      </c>
    </row>
    <row r="56">
      <c r="A56" s="10" t="inlineStr">
        <is>
          <t>UNFCCC_N2O_lulucf</t>
        </is>
      </c>
      <c r="B56" t="inlineStr">
        <is>
          <t>UNFCCC</t>
        </is>
      </c>
      <c r="C56" t="n">
        <v>201</v>
      </c>
      <c r="D56" t="n">
        <v>201</v>
      </c>
      <c r="E56" t="inlineStr">
        <is>
          <t>perc</t>
        </is>
      </c>
      <c r="F56" t="inlineStr">
        <is>
          <t>Norway NID Annexes 2025, Annex 2 Table A2-7, s. A2-19: direkte N2O skog/bebyggelse=201%</t>
        </is>
      </c>
      <c r="G56" t="inlineStr">
        <is>
          <t>log-normal</t>
        </is>
      </c>
    </row>
    <row r="57">
      <c r="A57" s="10" t="inlineStr">
        <is>
          <t>UNFCCC_N2O_solid_waste</t>
        </is>
      </c>
      <c r="B57" t="inlineStr">
        <is>
          <t>UNFCCC</t>
        </is>
      </c>
      <c r="C57" t="n">
        <v>66.7</v>
      </c>
      <c r="D57" t="n">
        <v>200</v>
      </c>
      <c r="E57" t="inlineStr">
        <is>
          <t>perc</t>
        </is>
      </c>
      <c r="F57" t="inlineStr">
        <is>
          <t>Norway NID Annexes 2025, Annex 2 s. A2-13: 5C avfallsforbrenning N2O="Fac3"</t>
        </is>
      </c>
      <c r="G57" t="inlineStr">
        <is>
          <t>PERT</t>
        </is>
      </c>
    </row>
    <row r="58">
      <c r="A58" s="10" t="inlineStr">
        <is>
          <t>UNFCCC_N_leaching</t>
        </is>
      </c>
      <c r="B58" t="inlineStr">
        <is>
          <t>UNFCCC</t>
        </is>
      </c>
      <c r="C58" t="n">
        <v>50</v>
      </c>
      <c r="D58" t="n">
        <v>50</v>
      </c>
      <c r="E58" t="inlineStr">
        <is>
          <t>perc</t>
        </is>
      </c>
      <c r="F58" t="inlineStr">
        <is>
          <t>assumed</t>
        </is>
      </c>
      <c r="G58" t="inlineStr">
        <is>
          <t>PERT</t>
        </is>
      </c>
    </row>
    <row r="59">
      <c r="A59" s="10" t="inlineStr">
        <is>
          <t>UNFCCC_N2O_wastewater</t>
        </is>
      </c>
      <c r="B59" t="inlineStr">
        <is>
          <t>UNFCCC</t>
        </is>
      </c>
      <c r="C59" t="n">
        <v>50</v>
      </c>
      <c r="D59" t="n">
        <v>50</v>
      </c>
      <c r="E59" t="inlineStr">
        <is>
          <t>perc</t>
        </is>
      </c>
      <c r="F59" t="inlineStr">
        <is>
          <t>Norway NID Annexes 2025, Annex 2 s. A2-13: 5D avløpsvann N2O=50%</t>
        </is>
      </c>
      <c r="G59" t="inlineStr">
        <is>
          <t>PERT</t>
        </is>
      </c>
    </row>
    <row r="60">
      <c r="A60" t="inlineStr">
        <is>
          <t>UNFCCC_fuel</t>
        </is>
      </c>
      <c r="B60" t="inlineStr">
        <is>
          <t>UNFCCC</t>
        </is>
      </c>
      <c r="C60" t="n">
        <v>20</v>
      </c>
      <c r="D60" t="n">
        <v>20</v>
      </c>
      <c r="E60" t="inlineStr">
        <is>
          <t>perc</t>
        </is>
      </c>
      <c r="F60" t="inlineStr">
        <is>
          <t>Schäppi2025Ann: current official statistics</t>
        </is>
      </c>
      <c r="G60" t="inlineStr">
        <is>
          <t>PERT</t>
        </is>
      </c>
    </row>
    <row r="61">
      <c r="A61" t="inlineStr">
        <is>
          <t>UNFCCC_manure_applied</t>
        </is>
      </c>
      <c r="B61" t="inlineStr">
        <is>
          <t>CRT Table3.D</t>
        </is>
      </c>
      <c r="C61" t="n">
        <v>10</v>
      </c>
      <c r="D61" t="n">
        <v>10</v>
      </c>
      <c r="E61" t="inlineStr">
        <is>
          <t>perc</t>
        </is>
      </c>
      <c r="F61" t="inlineStr">
        <is>
          <t>UNFCCC CRT submission</t>
        </is>
      </c>
      <c r="G61" t="inlineStr">
        <is>
          <t>PERT</t>
        </is>
      </c>
    </row>
    <row r="62">
      <c r="A62" t="inlineStr">
        <is>
          <t>BFJ_totalkalkylen_grazing</t>
        </is>
      </c>
      <c r="B62" t="inlineStr">
        <is>
          <t>BFJ Totalkalkylen</t>
        </is>
      </c>
      <c r="C62" t="n">
        <v>20</v>
      </c>
      <c r="D62" t="n">
        <v>20</v>
      </c>
      <c r="E62" t="inlineStr">
        <is>
          <t>perc</t>
        </is>
      </c>
      <c r="F62" t="inlineStr">
        <is>
          <t>Budsjettnemnda for jordbruket</t>
        </is>
      </c>
      <c r="G62" t="inlineStr">
        <is>
          <t>PERT</t>
        </is>
      </c>
    </row>
    <row r="63">
      <c r="A63" t="inlineStr">
        <is>
          <t>Stensgard_2023</t>
        </is>
      </c>
      <c r="B63" t="inlineStr">
        <is>
          <t>Stensgård et al. 2023, Kartleggingsrapport for matbransjen og forbrukerleddet</t>
        </is>
      </c>
      <c r="C63" t="n">
        <v>25</v>
      </c>
      <c r="D63" t="n">
        <v>25</v>
      </c>
      <c r="E63" t="inlineStr">
        <is>
          <t>perc</t>
        </is>
      </c>
      <c r="F63" t="inlineStr">
        <is>
          <t>assumption</t>
        </is>
      </c>
      <c r="G63" t="inlineStr">
        <is>
          <t>PERT</t>
        </is>
      </c>
    </row>
    <row r="64">
      <c r="A64" t="inlineStr">
        <is>
          <t>07479</t>
        </is>
      </c>
      <c r="B64" t="inlineStr">
        <is>
          <t>SSB</t>
        </is>
      </c>
      <c r="C64" t="n">
        <v>20</v>
      </c>
      <c r="D64" t="n">
        <v>20</v>
      </c>
      <c r="E64" t="inlineStr">
        <is>
          <t>perc</t>
        </is>
      </c>
      <c r="F64" t="inlineStr">
        <is>
          <t>Schäppi2025Ann: current official statistics</t>
        </is>
      </c>
      <c r="G64"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2026-10-06T19:18:26Z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