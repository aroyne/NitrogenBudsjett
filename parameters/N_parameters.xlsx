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95"/>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PERT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PERT</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PERT</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PERT</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PERT</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PERT</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PERT</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PERT</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PERT</t>
        </is>
      </c>
    </row>
    <row r="32">
      <c r="A32" t="inlineStr">
        <is>
          <t>coal_feedstock_NCV</t>
        </is>
      </c>
      <c r="B32" t="n">
        <v>25.8</v>
      </c>
      <c r="C32" t="inlineStr">
        <is>
          <t>TJ/kt</t>
        </is>
      </c>
      <c r="D32" t="inlineStr">
        <is>
          <t>NCV of coal used as feedstock</t>
        </is>
      </c>
      <c r="E32" t="inlineStr">
        <is>
          <t>IPCC 2006, Vol. 2, Ch. 1, Table 1.2: other bituminous coal (default 25.8, lower 19.9, upper 30.5 TJ/kt)</t>
        </is>
      </c>
      <c r="F32" t="n">
        <v>19.9</v>
      </c>
      <c r="G32" t="n">
        <v>30.5</v>
      </c>
      <c r="H32" t="inlineStr">
        <is>
          <t>abs</t>
        </is>
      </c>
      <c r="I32" t="inlineStr">
        <is>
          <t>IPCC 2006, Table 1.2</t>
        </is>
      </c>
      <c r="J32" t="inlineStr">
        <is>
          <t>PERT</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PERT</t>
        </is>
      </c>
    </row>
    <row r="34">
      <c r="A34" t="inlineStr">
        <is>
          <t>coal_feedstock_N_frac</t>
        </is>
      </c>
      <c r="B34" t="n">
        <v>0.01</v>
      </c>
      <c r="C34" t="inlineStr">
        <is>
          <t>kg N/kg</t>
        </is>
      </c>
      <c r="D34" t="inlineStr">
        <is>
          <t>N content of coal used as chemical feedstock</t>
        </is>
      </c>
      <c r="E34" t="inlineStr">
        <is>
          <t>Schäppi 2025Ann</t>
        </is>
      </c>
      <c r="F34" t="n">
        <v>0.005</v>
      </c>
      <c r="G34" t="n">
        <v>0.025</v>
      </c>
      <c r="H34" t="inlineStr">
        <is>
          <t>abs</t>
        </is>
      </c>
      <c r="I34" t="inlineStr">
        <is>
          <t>Schappi 2025</t>
        </is>
      </c>
      <c r="J34" t="inlineStr">
        <is>
          <t>PERT</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PERT</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PERT</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PERT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PERT</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PERT</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PERT</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PERT</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PERT</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PERT</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PERT</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PERT</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PERT</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PERT</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PERT</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PERT</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PERT</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PERT</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PERT</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PERT</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PERT</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PERT</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PERT</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PERT</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PERT</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PERT</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PERT</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PERT</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PERT</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PERT</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PERT</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PERT</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PERT</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PERT</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PERT</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PERT</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PERT</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PERT</t>
        </is>
      </c>
    </row>
    <row r="81">
      <c r="A81" t="inlineStr">
        <is>
          <t>soy_meal_share_of_concentrates</t>
        </is>
      </c>
      <c r="B81" t="n">
        <v>0.093</v>
      </c>
      <c r="C81" t="inlineStr">
        <is>
          <t>kg/kg</t>
        </is>
      </c>
      <c r="D81" t="inlineStr">
        <is>
          <t>share of domestically produced protein concentrates that is imported soy</t>
        </is>
      </c>
      <c r="E81" t="inlineStr">
        <is>
          <t>Landbruksdirektoratet, «Årlig råvareforbruk», andelen norsk soyamel av totalt kraftfôr i 2000–2004</t>
        </is>
      </c>
      <c r="F81" t="n">
        <v>0.075</v>
      </c>
      <c r="G81" t="n">
        <v>0.102</v>
      </c>
      <c r="H81" t="inlineStr">
        <is>
          <t>abs</t>
        </is>
      </c>
      <c r="I81" t="inlineStr">
        <is>
          <t>assumption</t>
        </is>
      </c>
      <c r="J81" t="inlineStr">
        <is>
          <t>PERT</t>
        </is>
      </c>
    </row>
    <row r="82">
      <c r="A82" t="inlineStr">
        <is>
          <t>food_waste_N_frac</t>
        </is>
      </c>
      <c r="B82" t="n">
        <v>0.0128</v>
      </c>
      <c r="C82" t="inlineStr">
        <is>
          <t>kg N/kg</t>
        </is>
      </c>
      <c r="D82" t="inlineStr">
        <is>
          <t>Mean N content of food wasted downstream of the food industry (wholesale, retail, food service, catering, institutions)</t>
        </is>
      </c>
      <c r="E82" t="inlineStr">
        <is>
          <t>FAOSTAT Food Balance Sheets, 'Food' quantity by item 2010-2023, weighted by N content in Schäppi 2025Ann Table 21</t>
        </is>
      </c>
      <c r="F82" t="n">
        <v>20</v>
      </c>
      <c r="G82" t="n">
        <v>20</v>
      </c>
      <c r="H82" t="inlineStr">
        <is>
          <t>perc</t>
        </is>
      </c>
      <c r="I82" t="inlineStr">
        <is>
          <t>assumption</t>
        </is>
      </c>
      <c r="J82" t="inlineStr">
        <is>
          <t>PERT</t>
        </is>
      </c>
    </row>
    <row r="83">
      <c r="A83" t="inlineStr">
        <is>
          <t>fu_horse_1996</t>
        </is>
      </c>
      <c r="B83" t="n">
        <v>3.03</v>
      </c>
      <c r="C83" t="inlineStr">
        <is>
          <t>forenheter</t>
        </is>
      </c>
      <c r="D83" t="inlineStr">
        <is>
          <t>forenheter for hest i utmark (303*0,01)</t>
        </is>
      </c>
      <c r="E83" t="inlineStr">
        <is>
          <t>Hegrenes &amp; Asheim 2006, Table 1.2 (Garmo &amp; Skurdal 1998): 303 mill. FEm taken up on utmark in 1996</t>
        </is>
      </c>
      <c r="F83" t="n">
        <v>20</v>
      </c>
      <c r="G83" t="n">
        <v>20</v>
      </c>
      <c r="H83" t="inlineStr">
        <is>
          <t>perc</t>
        </is>
      </c>
      <c r="I83" t="inlineStr">
        <is>
          <t>assumption</t>
        </is>
      </c>
      <c r="J83" t="inlineStr">
        <is>
          <t>PERT</t>
        </is>
      </c>
    </row>
    <row r="84">
      <c r="A84" t="inlineStr">
        <is>
          <t>household_fuelwood_N_frac</t>
        </is>
      </c>
      <c r="B84" t="n">
        <v>0.0014</v>
      </c>
      <c r="C84" t="inlineStr">
        <is>
          <t>kg N/kg</t>
        </is>
      </c>
      <c r="D84" t="inlineStr">
        <is>
          <t>N content in fuel wood burned in households (stem with bark, mainly birch)</t>
        </is>
      </c>
      <c r="E84" t="inlineStr">
        <is>
          <t>Schäppi 2025Ann Table 45, stems of broadleaves (1.4 ± 0.5 g/kg); Hellsten et al. 2008 (IVL B1798): 1.1 g/kg for stem with bark of conifers</t>
        </is>
      </c>
      <c r="F84" t="n">
        <v>0.0007</v>
      </c>
      <c r="G84" t="n">
        <v>0.0043</v>
      </c>
      <c r="H84" t="inlineStr">
        <is>
          <t>abs</t>
        </is>
      </c>
      <c r="I84" t="inlineStr">
        <is>
          <t>lower: stems minus 1 SD; upper: whole tree, broadleaves (Table 45)</t>
        </is>
      </c>
      <c r="J84" t="inlineStr">
        <is>
          <t>PERT</t>
        </is>
      </c>
    </row>
    <row r="85">
      <c r="A85" t="inlineStr">
        <is>
          <t>household_waste_kg_per_person_1990</t>
        </is>
      </c>
      <c r="B85" t="n">
        <v>200</v>
      </c>
      <c r="C85" t="inlineStr">
        <is>
          <t>kg/person</t>
        </is>
      </c>
      <c r="D85" t="inlineStr">
        <is>
          <t>Household waste per inhabitant in 1990,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household_waste_kg_per_person_1995</t>
        </is>
      </c>
      <c r="B86" t="n">
        <v>289</v>
      </c>
      <c r="C86" t="inlineStr">
        <is>
          <t>kg/person</t>
        </is>
      </c>
      <c r="D86" t="inlineStr">
        <is>
          <t>Household waste per inhabitant in 1995, used to extrapolate HS.HS-PR.SO-Household waste-Nmix back from 1995</t>
        </is>
      </c>
      <c r="E86" t="inlineStr">
        <is>
          <t>SSB (1997), Naturressurser og miljø 1997, Figure 4.1: household waste per inhabitant</t>
        </is>
      </c>
      <c r="F86" t="n">
        <v>0</v>
      </c>
      <c r="G86" t="n">
        <v>0</v>
      </c>
      <c r="H86" t="inlineStr">
        <is>
          <t>abs</t>
        </is>
      </c>
      <c r="I86" t="inlineStr">
        <is>
          <t>covered by trend interpolation noise</t>
        </is>
      </c>
      <c r="J86" t="inlineStr">
        <is>
          <t>none</t>
        </is>
      </c>
    </row>
    <row r="87">
      <c r="A87" t="inlineStr">
        <is>
          <t>deposition_scale_2017_OXN</t>
        </is>
      </c>
      <c r="B87" t="n">
        <v>0.901329108353138</v>
      </c>
      <c r="C87" t="inlineStr">
        <is>
          <t>–</t>
        </is>
      </c>
      <c r="D87" t="inlineStr">
        <is>
          <t>Scaling of 2012-2016 oxidised N deposition to 2017-2021 (61440/68166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deposition_scale_2017_RDN</t>
        </is>
      </c>
      <c r="B88" t="n">
        <v>0.8323808746292214</v>
      </c>
      <c r="C88" t="inlineStr">
        <is>
          <t>–</t>
        </is>
      </c>
      <c r="D88" t="inlineStr">
        <is>
          <t>Scaling of 2012-2016 reduced N deposition to 2017-2021 (61175/73494 t N)</t>
        </is>
      </c>
      <c r="E88" t="inlineStr">
        <is>
          <t>Blake et al. 2023, Table 3: observed (kriging) deposition, change since 2015</t>
        </is>
      </c>
      <c r="F88" t="n">
        <v>0</v>
      </c>
      <c r="G88" t="n">
        <v>0</v>
      </c>
      <c r="H88" t="inlineStr">
        <is>
          <t>abs</t>
        </is>
      </c>
      <c r="I88" t="inlineStr">
        <is>
          <t>covered by Deposition dataset uncertainty</t>
        </is>
      </c>
      <c r="J88" t="inlineStr">
        <is>
          <t>none</t>
        </is>
      </c>
    </row>
    <row r="89">
      <c r="A89" t="inlineStr">
        <is>
          <t>utmark_grazing_share_dairy_cattle</t>
        </is>
      </c>
      <c r="B89" t="n">
        <v>0.1565</v>
      </c>
      <c r="C89" t="inlineStr">
        <is>
          <t>fraction</t>
        </is>
      </c>
      <c r="D89" t="inlineStr">
        <is>
          <t>Share of manure deposited during grazing (PRP) that lands on utmark. Mjølkekyr: 2.3 of 14.7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PERT</t>
        </is>
      </c>
    </row>
    <row r="90">
      <c r="A90" t="inlineStr">
        <is>
          <t>utmark_grazing_share_other_mature_cattle</t>
        </is>
      </c>
      <c r="B90" t="n">
        <v>0.3008</v>
      </c>
      <c r="C90" t="inlineStr">
        <is>
          <t>fraction</t>
        </is>
      </c>
      <c r="D90" t="inlineStr">
        <is>
          <t>Share of manure deposited during grazing (PRP) that lands on utmark. Ammekyr: 7.4 of 24.6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PERT</t>
        </is>
      </c>
    </row>
    <row r="91">
      <c r="A91" t="inlineStr">
        <is>
          <t>utmark_grazing_share_growing_cattle</t>
        </is>
      </c>
      <c r="B91" t="n">
        <v>0.3239</v>
      </c>
      <c r="C91" t="inlineStr">
        <is>
          <t>fraction</t>
        </is>
      </c>
      <c r="D91" t="inlineStr">
        <is>
          <t>Share of manure deposited during grazing (PRP) that lands on utmark. Andre storfe: 4.6 of 14.2 weeks</t>
        </is>
      </c>
      <c r="E91" t="inlineStr">
        <is>
          <t>SSB Rapporter 2020/9 (Bruk av gjødselressurser i jordbruket 2018), Table A79: weeks on utmark / total weeks on pasture and in exercise yard, 2018</t>
        </is>
      </c>
      <c r="F91" t="n">
        <v>20</v>
      </c>
      <c r="G91" t="n">
        <v>20</v>
      </c>
      <c r="H91" t="inlineStr">
        <is>
          <t>perc</t>
        </is>
      </c>
      <c r="I91" t="inlineStr">
        <is>
          <t>assumed (survey of one year, 2018)</t>
        </is>
      </c>
      <c r="J91" t="inlineStr">
        <is>
          <t>PERT</t>
        </is>
      </c>
    </row>
    <row r="92">
      <c r="A92" t="inlineStr">
        <is>
          <t>utmark_grazing_share_sheep</t>
        </is>
      </c>
      <c r="B92" t="n">
        <v>0.5112</v>
      </c>
      <c r="C92" t="inlineStr">
        <is>
          <t>fraction</t>
        </is>
      </c>
      <c r="D92" t="inlineStr">
        <is>
          <t>Share of manure deposited during grazing (PRP) that lands on utmark. Sau: 13.7 of 26.8 weeks</t>
        </is>
      </c>
      <c r="E92" t="inlineStr">
        <is>
          <t>SSB Rapporter 2020/9 (Bruk av gjødselressurser i jordbruket 2018), Table A79: weeks on utmark / total weeks on pasture and in exercise yard, 2018</t>
        </is>
      </c>
      <c r="F92" t="n">
        <v>20</v>
      </c>
      <c r="G92" t="n">
        <v>20</v>
      </c>
      <c r="H92" t="inlineStr">
        <is>
          <t>perc</t>
        </is>
      </c>
      <c r="I92" t="inlineStr">
        <is>
          <t>assumed (survey of one year, 2018)</t>
        </is>
      </c>
      <c r="J92" t="inlineStr">
        <is>
          <t>PERT</t>
        </is>
      </c>
    </row>
    <row r="93">
      <c r="A93" t="inlineStr">
        <is>
          <t>utmark_grazing_share_goats</t>
        </is>
      </c>
      <c r="B93" t="n">
        <v>0.5417</v>
      </c>
      <c r="C93" t="inlineStr">
        <is>
          <t>fraction</t>
        </is>
      </c>
      <c r="D93" t="inlineStr">
        <is>
          <t>Share of manure deposited during grazing (PRP) that lands on utmark. Geit: 13.0 of 24.0 weeks</t>
        </is>
      </c>
      <c r="E93" t="inlineStr">
        <is>
          <t>SSB Rapporter 2020/9 (Bruk av gjødselressurser i jordbruket 2018), Table A79: weeks on utmark / total weeks on pasture and in exercise yard, 2018</t>
        </is>
      </c>
      <c r="F93" t="n">
        <v>20</v>
      </c>
      <c r="G93" t="n">
        <v>20</v>
      </c>
      <c r="H93" t="inlineStr">
        <is>
          <t>perc</t>
        </is>
      </c>
      <c r="I93" t="inlineStr">
        <is>
          <t>assumed (survey of one year, 2018)</t>
        </is>
      </c>
      <c r="J93" t="inlineStr">
        <is>
          <t>PERT</t>
        </is>
      </c>
    </row>
    <row r="94">
      <c r="A94" t="inlineStr">
        <is>
          <t>utmark_grazing_share_horses</t>
        </is>
      </c>
      <c r="B94" t="n">
        <v>0.1648</v>
      </c>
      <c r="C94" t="inlineStr">
        <is>
          <t>fraction</t>
        </is>
      </c>
      <c r="D94" t="inlineStr">
        <is>
          <t>Share of manure deposited during grazing (PRP) that lands on utmark. Hest: 4.5 of 27.3 weeks</t>
        </is>
      </c>
      <c r="E94" t="inlineStr">
        <is>
          <t>SSB Rapporter 2020/9 (Bruk av gjødselressurser i jordbruket 2018), Table A79: weeks on utmark / total weeks on pasture and in exercise yard, 2018</t>
        </is>
      </c>
      <c r="F94" t="n">
        <v>20</v>
      </c>
      <c r="G94" t="n">
        <v>20</v>
      </c>
      <c r="H94" t="inlineStr">
        <is>
          <t>perc</t>
        </is>
      </c>
      <c r="I94" t="inlineStr">
        <is>
          <t>assumed (survey of one year, 2018)</t>
        </is>
      </c>
      <c r="J94" t="inlineStr">
        <is>
          <t>PERT</t>
        </is>
      </c>
    </row>
    <row r="95">
      <c r="A95" t="inlineStr">
        <is>
          <t>utmark_grazing_share_reindeer</t>
        </is>
      </c>
      <c r="B95" t="n">
        <v>1</v>
      </c>
      <c r="C95" t="inlineStr">
        <is>
          <t>fraction</t>
        </is>
      </c>
      <c r="D95" t="inlineStr">
        <is>
          <t>Share of reindeer manure (PRP) that lands on utmark: reindeer graze on unmanaged land all year</t>
        </is>
      </c>
      <c r="E95" t="inlineStr">
        <is>
          <t>assumption</t>
        </is>
      </c>
      <c r="F95" t="n">
        <v>0</v>
      </c>
      <c r="G95" t="n">
        <v>0</v>
      </c>
      <c r="H95" t="inlineStr">
        <is>
          <t>abs</t>
        </is>
      </c>
      <c r="I95" t="inlineStr">
        <is>
          <t>none</t>
        </is>
      </c>
      <c r="J95" t="inlineStr">
        <is>
          <t>none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log-normal</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log-normal</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log-normal</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2026-10-07T13:47:20Z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